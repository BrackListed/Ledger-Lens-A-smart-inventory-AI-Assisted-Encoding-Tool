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5035FA85-C362-4458-9144-3D43B87B2CB7}" xr6:coauthVersionLast="47" xr6:coauthVersionMax="47" xr10:uidLastSave="{00000000-0000-0000-0000-000000000000}"/>
  <bookViews>
    <workbookView xWindow="-108" yWindow="-108" windowWidth="23256" windowHeight="13896" activeTab="1" xr2:uid="{B3DB2408-E19F-4C09-8E1C-97A550B08401}"/>
  </bookViews>
  <sheets>
    <sheet name="Product Materials" sheetId="1" r:id="rId1"/>
    <sheet name="Sales" sheetId="2" r:id="rId2"/>
  </sheets>
  <definedNames>
    <definedName name="ProductSKUList">'Product Materials'!$A$2:$A$501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99" i="1"/>
  <c r="D28" i="1"/>
  <c r="A2" i="1"/>
  <c r="B2" i="1"/>
  <c r="C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</calcChain>
</file>

<file path=xl/sharedStrings.xml><?xml version="1.0" encoding="utf-8"?>
<sst xmlns="http://schemas.openxmlformats.org/spreadsheetml/2006/main" count="1010" uniqueCount="1007">
  <si>
    <t>UNIT PRICE</t>
  </si>
  <si>
    <t>QUANTITY</t>
  </si>
  <si>
    <t>DESCRIPTION</t>
  </si>
  <si>
    <t>SKU</t>
  </si>
  <si>
    <t>PROD-001</t>
  </si>
  <si>
    <t>Industrial Adhesive - Light Duty 001</t>
  </si>
  <si>
    <t>PROD-002</t>
  </si>
  <si>
    <t>Stainless Steel Bracket - Light Duty 002</t>
  </si>
  <si>
    <t>PROD-003</t>
  </si>
  <si>
    <t>Copper Terminal Lug - Light Duty 003</t>
  </si>
  <si>
    <t>PROD-004</t>
  </si>
  <si>
    <t>PVC Conduit - Light Duty 004</t>
  </si>
  <si>
    <t>PROD-005</t>
  </si>
  <si>
    <t>Rubber O-Ring - Light Duty 005</t>
  </si>
  <si>
    <t>PROD-006</t>
  </si>
  <si>
    <t>Aluminum Extrusion - Light Duty 006</t>
  </si>
  <si>
    <t>PROD-007</t>
  </si>
  <si>
    <t>Ceramic Insulator - Light Duty 007</t>
  </si>
  <si>
    <t>PROD-008</t>
  </si>
  <si>
    <t>Nylon Cable Tie - Light Duty 008</t>
  </si>
  <si>
    <t>PROD-009</t>
  </si>
  <si>
    <t>Brass Compression Fitting - Light Duty 009</t>
  </si>
  <si>
    <t>PROD-010</t>
  </si>
  <si>
    <t>Carbon Steel Washer - Light Duty 010</t>
  </si>
  <si>
    <t>PROD-011</t>
  </si>
  <si>
    <t>Silicone Sealant - Light Duty 011</t>
  </si>
  <si>
    <t>PROD-012</t>
  </si>
  <si>
    <t>Fiberglass Sleeve - Light Duty 012</t>
  </si>
  <si>
    <t>PROD-013</t>
  </si>
  <si>
    <t>Polycarbonate Panel - Light Duty 013</t>
  </si>
  <si>
    <t>PROD-014</t>
  </si>
  <si>
    <t>Galvanized U-Bolt - Light Duty 014</t>
  </si>
  <si>
    <t>PROD-015</t>
  </si>
  <si>
    <t>Neoprene Gasket - Light Duty 015</t>
  </si>
  <si>
    <t>PROD-016</t>
  </si>
  <si>
    <t>Copper Busbar - Light Duty 016</t>
  </si>
  <si>
    <t>PROD-017</t>
  </si>
  <si>
    <t>ABS Enclosure - Light Duty 017</t>
  </si>
  <si>
    <t>PROD-018</t>
  </si>
  <si>
    <t>Teflon Tape - Light Duty 018</t>
  </si>
  <si>
    <t>PROD-019</t>
  </si>
  <si>
    <t>Steel Machine Screw - Light Duty 019</t>
  </si>
  <si>
    <t>PROD-020</t>
  </si>
  <si>
    <t>Heat-Shrink Tubing - Light Duty 020</t>
  </si>
  <si>
    <t>PROD-021</t>
  </si>
  <si>
    <t>Industrial Adhesive - Standard Grade 021</t>
  </si>
  <si>
    <t>PROD-022</t>
  </si>
  <si>
    <t>Stainless Steel Bracket - Standard Grade 022</t>
  </si>
  <si>
    <t>PROD-023</t>
  </si>
  <si>
    <t>Copper Terminal Lug - Standard Grade 023</t>
  </si>
  <si>
    <t>PROD-024</t>
  </si>
  <si>
    <t>PVC Conduit - Standard Grade 024</t>
  </si>
  <si>
    <t>PROD-025</t>
  </si>
  <si>
    <t>Rubber O-Ring - Standard Grade 025</t>
  </si>
  <si>
    <t>PROD-026</t>
  </si>
  <si>
    <t>Aluminum Extrusion - Standard Grade 026</t>
  </si>
  <si>
    <t>PROD-027</t>
  </si>
  <si>
    <t>Ceramic Insulator - Standard Grade 027</t>
  </si>
  <si>
    <t>PROD-028</t>
  </si>
  <si>
    <t>Nylon Cable Tie - Standard Grade 028</t>
  </si>
  <si>
    <t>PROD-029</t>
  </si>
  <si>
    <t>Brass Compression Fitting - Standard Grade 029</t>
  </si>
  <si>
    <t>PROD-030</t>
  </si>
  <si>
    <t>Carbon Steel Washer - Standard Grade 030</t>
  </si>
  <si>
    <t>PROD-031</t>
  </si>
  <si>
    <t>Silicone Sealant - Standard Grade 031</t>
  </si>
  <si>
    <t>PROD-032</t>
  </si>
  <si>
    <t>Fiberglass Sleeve - Standard Grade 032</t>
  </si>
  <si>
    <t>PROD-033</t>
  </si>
  <si>
    <t>Polycarbonate Panel - Standard Grade 033</t>
  </si>
  <si>
    <t>PROD-034</t>
  </si>
  <si>
    <t>Galvanized U-Bolt - Standard Grade 034</t>
  </si>
  <si>
    <t>PROD-035</t>
  </si>
  <si>
    <t>Neoprene Gasket - Standard Grade 035</t>
  </si>
  <si>
    <t>PROD-036</t>
  </si>
  <si>
    <t>Copper Busbar - Standard Grade 036</t>
  </si>
  <si>
    <t>PROD-037</t>
  </si>
  <si>
    <t>ABS Enclosure - Standard Grade 037</t>
  </si>
  <si>
    <t>PROD-038</t>
  </si>
  <si>
    <t>Teflon Tape - Standard Grade 038</t>
  </si>
  <si>
    <t>PROD-039</t>
  </si>
  <si>
    <t>Steel Machine Screw - Standard Grade 039</t>
  </si>
  <si>
    <t>PROD-040</t>
  </si>
  <si>
    <t>Heat-Shrink Tubing - Standard Grade 040</t>
  </si>
  <si>
    <t>PROD-041</t>
  </si>
  <si>
    <t>Industrial Adhesive - Heavy Duty 041</t>
  </si>
  <si>
    <t>PROD-042</t>
  </si>
  <si>
    <t>Stainless Steel Bracket - Heavy Duty 042</t>
  </si>
  <si>
    <t>PROD-043</t>
  </si>
  <si>
    <t>Copper Terminal Lug - Heavy Duty 043</t>
  </si>
  <si>
    <t>PROD-044</t>
  </si>
  <si>
    <t>PVC Conduit - Heavy Duty 044</t>
  </si>
  <si>
    <t>PROD-045</t>
  </si>
  <si>
    <t>Rubber O-Ring - Heavy Duty 045</t>
  </si>
  <si>
    <t>PROD-046</t>
  </si>
  <si>
    <t>Aluminum Extrusion - Heavy Duty 046</t>
  </si>
  <si>
    <t>PROD-047</t>
  </si>
  <si>
    <t>Ceramic Insulator - Heavy Duty 047</t>
  </si>
  <si>
    <t>PROD-048</t>
  </si>
  <si>
    <t>Nylon Cable Tie - Heavy Duty 048</t>
  </si>
  <si>
    <t>PROD-049</t>
  </si>
  <si>
    <t>Brass Compression Fitting - Heavy Duty 049</t>
  </si>
  <si>
    <t>PROD-050</t>
  </si>
  <si>
    <t>Carbon Steel Washer - Heavy Duty 050</t>
  </si>
  <si>
    <t>PROD-051</t>
  </si>
  <si>
    <t>Silicone Sealant - Heavy Duty 051</t>
  </si>
  <si>
    <t>PROD-052</t>
  </si>
  <si>
    <t>Fiberglass Sleeve - Heavy Duty 052</t>
  </si>
  <si>
    <t>PROD-053</t>
  </si>
  <si>
    <t>Polycarbonate Panel - Heavy Duty 053</t>
  </si>
  <si>
    <t>PROD-054</t>
  </si>
  <si>
    <t>Galvanized U-Bolt - Heavy Duty 054</t>
  </si>
  <si>
    <t>PROD-055</t>
  </si>
  <si>
    <t>Neoprene Gasket - Heavy Duty 055</t>
  </si>
  <si>
    <t>PROD-056</t>
  </si>
  <si>
    <t>Copper Busbar - Heavy Duty 056</t>
  </si>
  <si>
    <t>PROD-057</t>
  </si>
  <si>
    <t>ABS Enclosure - Heavy Duty 057</t>
  </si>
  <si>
    <t>PROD-058</t>
  </si>
  <si>
    <t>Teflon Tape - Heavy Duty 058</t>
  </si>
  <si>
    <t>PROD-059</t>
  </si>
  <si>
    <t>Steel Machine Screw - Heavy Duty 059</t>
  </si>
  <si>
    <t>PROD-060</t>
  </si>
  <si>
    <t>Heat-Shrink Tubing - Heavy Duty 060</t>
  </si>
  <si>
    <t>PROD-061</t>
  </si>
  <si>
    <t>Industrial Adhesive - High Temperature 061</t>
  </si>
  <si>
    <t>PROD-062</t>
  </si>
  <si>
    <t>Stainless Steel Bracket - High Temperature 062</t>
  </si>
  <si>
    <t>PROD-063</t>
  </si>
  <si>
    <t>Copper Terminal Lug - High Temperature 063</t>
  </si>
  <si>
    <t>PROD-064</t>
  </si>
  <si>
    <t>PVC Conduit - High Temperature 064</t>
  </si>
  <si>
    <t>PROD-065</t>
  </si>
  <si>
    <t>Rubber O-Ring - High Temperature 065</t>
  </si>
  <si>
    <t>PROD-066</t>
  </si>
  <si>
    <t>Aluminum Extrusion - High Temperature 066</t>
  </si>
  <si>
    <t>PROD-067</t>
  </si>
  <si>
    <t>Ceramic Insulator - High Temperature 067</t>
  </si>
  <si>
    <t>PROD-068</t>
  </si>
  <si>
    <t>Nylon Cable Tie - High Temperature 068</t>
  </si>
  <si>
    <t>PROD-069</t>
  </si>
  <si>
    <t>Brass Compression Fitting - High Temperature 069</t>
  </si>
  <si>
    <t>PROD-070</t>
  </si>
  <si>
    <t>Carbon Steel Washer - High Temperature 070</t>
  </si>
  <si>
    <t>PROD-071</t>
  </si>
  <si>
    <t>Silicone Sealant - High Temperature 071</t>
  </si>
  <si>
    <t>PROD-072</t>
  </si>
  <si>
    <t>Fiberglass Sleeve - High Temperature 072</t>
  </si>
  <si>
    <t>PROD-073</t>
  </si>
  <si>
    <t>Polycarbonate Panel - High Temperature 073</t>
  </si>
  <si>
    <t>PROD-074</t>
  </si>
  <si>
    <t>Galvanized U-Bolt - High Temperature 074</t>
  </si>
  <si>
    <t>PROD-075</t>
  </si>
  <si>
    <t>Neoprene Gasket - High Temperature 075</t>
  </si>
  <si>
    <t>PROD-076</t>
  </si>
  <si>
    <t>Copper Busbar - High Temperature 076</t>
  </si>
  <si>
    <t>PROD-077</t>
  </si>
  <si>
    <t>ABS Enclosure - High Temperature 077</t>
  </si>
  <si>
    <t>PROD-078</t>
  </si>
  <si>
    <t>Teflon Tape - High Temperature 078</t>
  </si>
  <si>
    <t>PROD-079</t>
  </si>
  <si>
    <t>Steel Machine Screw - High Temperature 079</t>
  </si>
  <si>
    <t>PROD-080</t>
  </si>
  <si>
    <t>Heat-Shrink Tubing - High Temperature 080</t>
  </si>
  <si>
    <t>PROD-081</t>
  </si>
  <si>
    <t>Industrial Adhesive - Corrosion Resistant 081</t>
  </si>
  <si>
    <t>PROD-082</t>
  </si>
  <si>
    <t>Stainless Steel Bracket - Corrosion Resistant 082</t>
  </si>
  <si>
    <t>PROD-083</t>
  </si>
  <si>
    <t>Copper Terminal Lug - Corrosion Resistant 083</t>
  </si>
  <si>
    <t>PROD-084</t>
  </si>
  <si>
    <t>PVC Conduit - Corrosion Resistant 084</t>
  </si>
  <si>
    <t>PROD-085</t>
  </si>
  <si>
    <t>Rubber O-Ring - Corrosion Resistant 085</t>
  </si>
  <si>
    <t>PROD-086</t>
  </si>
  <si>
    <t>Aluminum Extrusion - Corrosion Resistant 086</t>
  </si>
  <si>
    <t>PROD-087</t>
  </si>
  <si>
    <t>Ceramic Insulator - Corrosion Resistant 087</t>
  </si>
  <si>
    <t>PROD-088</t>
  </si>
  <si>
    <t>Nylon Cable Tie - Corrosion Resistant 088</t>
  </si>
  <si>
    <t>PROD-089</t>
  </si>
  <si>
    <t>Brass Compression Fitting - Corrosion Resistant 089</t>
  </si>
  <si>
    <t>PROD-090</t>
  </si>
  <si>
    <t>Carbon Steel Washer - Corrosion Resistant 090</t>
  </si>
  <si>
    <t>PROD-091</t>
  </si>
  <si>
    <t>Silicone Sealant - Corrosion Resistant 091</t>
  </si>
  <si>
    <t>PROD-092</t>
  </si>
  <si>
    <t>Fiberglass Sleeve - Corrosion Resistant 092</t>
  </si>
  <si>
    <t>PROD-093</t>
  </si>
  <si>
    <t>Polycarbonate Panel - Corrosion Resistant 093</t>
  </si>
  <si>
    <t>PROD-094</t>
  </si>
  <si>
    <t>Galvanized U-Bolt - Corrosion Resistant 094</t>
  </si>
  <si>
    <t>PROD-095</t>
  </si>
  <si>
    <t>Neoprene Gasket - Corrosion Resistant 095</t>
  </si>
  <si>
    <t>PROD-096</t>
  </si>
  <si>
    <t>Copper Busbar - Corrosion Resistant 096</t>
  </si>
  <si>
    <t>PROD-097</t>
  </si>
  <si>
    <t>ABS Enclosure - Corrosion Resistant 097</t>
  </si>
  <si>
    <t>PROD-098</t>
  </si>
  <si>
    <t>Teflon Tape - Corrosion Resistant 098</t>
  </si>
  <si>
    <t>PROD-099</t>
  </si>
  <si>
    <t>Steel Machine Screw - Corrosion Resistant 099</t>
  </si>
  <si>
    <t>PROD-100</t>
  </si>
  <si>
    <t>Heat-Shrink Tubing - Corrosion Resistant 100</t>
  </si>
  <si>
    <t>PROD-101</t>
  </si>
  <si>
    <t>Industrial Adhesive - Precision Grade 101</t>
  </si>
  <si>
    <t>PROD-102</t>
  </si>
  <si>
    <t>Stainless Steel Bracket - Precision Grade 102</t>
  </si>
  <si>
    <t>PROD-103</t>
  </si>
  <si>
    <t>Copper Terminal Lug - Precision Grade 103</t>
  </si>
  <si>
    <t>PROD-104</t>
  </si>
  <si>
    <t>PVC Conduit - Precision Grade 104</t>
  </si>
  <si>
    <t>PROD-105</t>
  </si>
  <si>
    <t>Rubber O-Ring - Precision Grade 105</t>
  </si>
  <si>
    <t>PROD-106</t>
  </si>
  <si>
    <t>Aluminum Extrusion - Precision Grade 106</t>
  </si>
  <si>
    <t>PROD-107</t>
  </si>
  <si>
    <t>Ceramic Insulator - Precision Grade 107</t>
  </si>
  <si>
    <t>PROD-108</t>
  </si>
  <si>
    <t>Nylon Cable Tie - Precision Grade 108</t>
  </si>
  <si>
    <t>PROD-109</t>
  </si>
  <si>
    <t>Brass Compression Fitting - Precision Grade 109</t>
  </si>
  <si>
    <t>PROD-110</t>
  </si>
  <si>
    <t>Carbon Steel Washer - Precision Grade 110</t>
  </si>
  <si>
    <t>PROD-111</t>
  </si>
  <si>
    <t>Silicone Sealant - Precision Grade 111</t>
  </si>
  <si>
    <t>PROD-112</t>
  </si>
  <si>
    <t>Fiberglass Sleeve - Precision Grade 112</t>
  </si>
  <si>
    <t>PROD-113</t>
  </si>
  <si>
    <t>Polycarbonate Panel - Precision Grade 113</t>
  </si>
  <si>
    <t>PROD-114</t>
  </si>
  <si>
    <t>Galvanized U-Bolt - Precision Grade 114</t>
  </si>
  <si>
    <t>PROD-115</t>
  </si>
  <si>
    <t>Neoprene Gasket - Precision Grade 115</t>
  </si>
  <si>
    <t>PROD-116</t>
  </si>
  <si>
    <t>Copper Busbar - Precision Grade 116</t>
  </si>
  <si>
    <t>PROD-117</t>
  </si>
  <si>
    <t>ABS Enclosure - Precision Grade 117</t>
  </si>
  <si>
    <t>PROD-118</t>
  </si>
  <si>
    <t>Teflon Tape - Precision Grade 118</t>
  </si>
  <si>
    <t>PROD-119</t>
  </si>
  <si>
    <t>Steel Machine Screw - Precision Grade 119</t>
  </si>
  <si>
    <t>PROD-120</t>
  </si>
  <si>
    <t>Heat-Shrink Tubing - Precision Grade 120</t>
  </si>
  <si>
    <t>PROD-121</t>
  </si>
  <si>
    <t>Industrial Adhesive - Outdoor Rated 121</t>
  </si>
  <si>
    <t>PROD-122</t>
  </si>
  <si>
    <t>Stainless Steel Bracket - Outdoor Rated 122</t>
  </si>
  <si>
    <t>PROD-123</t>
  </si>
  <si>
    <t>Copper Terminal Lug - Outdoor Rated 123</t>
  </si>
  <si>
    <t>PROD-124</t>
  </si>
  <si>
    <t>PVC Conduit - Outdoor Rated 124</t>
  </si>
  <si>
    <t>PROD-125</t>
  </si>
  <si>
    <t>Rubber O-Ring - Outdoor Rated 125</t>
  </si>
  <si>
    <t>PROD-126</t>
  </si>
  <si>
    <t>Aluminum Extrusion - Outdoor Rated 126</t>
  </si>
  <si>
    <t>PROD-127</t>
  </si>
  <si>
    <t>Ceramic Insulator - Outdoor Rated 127</t>
  </si>
  <si>
    <t>PROD-128</t>
  </si>
  <si>
    <t>Nylon Cable Tie - Outdoor Rated 128</t>
  </si>
  <si>
    <t>PROD-129</t>
  </si>
  <si>
    <t>Brass Compression Fitting - Outdoor Rated 129</t>
  </si>
  <si>
    <t>PROD-130</t>
  </si>
  <si>
    <t>Carbon Steel Washer - Outdoor Rated 130</t>
  </si>
  <si>
    <t>PROD-131</t>
  </si>
  <si>
    <t>Silicone Sealant - Outdoor Rated 131</t>
  </si>
  <si>
    <t>PROD-132</t>
  </si>
  <si>
    <t>Fiberglass Sleeve - Outdoor Rated 132</t>
  </si>
  <si>
    <t>PROD-133</t>
  </si>
  <si>
    <t>Polycarbonate Panel - Outdoor Rated 133</t>
  </si>
  <si>
    <t>PROD-134</t>
  </si>
  <si>
    <t>Galvanized U-Bolt - Outdoor Rated 134</t>
  </si>
  <si>
    <t>PROD-135</t>
  </si>
  <si>
    <t>Neoprene Gasket - Outdoor Rated 135</t>
  </si>
  <si>
    <t>PROD-136</t>
  </si>
  <si>
    <t>Copper Busbar - Outdoor Rated 136</t>
  </si>
  <si>
    <t>PROD-137</t>
  </si>
  <si>
    <t>ABS Enclosure - Outdoor Rated 137</t>
  </si>
  <si>
    <t>PROD-138</t>
  </si>
  <si>
    <t>Teflon Tape - Outdoor Rated 138</t>
  </si>
  <si>
    <t>PROD-139</t>
  </si>
  <si>
    <t>Steel Machine Screw - Outdoor Rated 139</t>
  </si>
  <si>
    <t>PROD-140</t>
  </si>
  <si>
    <t>Heat-Shrink Tubing - Outdoor Rated 140</t>
  </si>
  <si>
    <t>PROD-141</t>
  </si>
  <si>
    <t>Industrial Adhesive - Food Grade 141</t>
  </si>
  <si>
    <t>PROD-142</t>
  </si>
  <si>
    <t>Stainless Steel Bracket - Food Grade 142</t>
  </si>
  <si>
    <t>PROD-143</t>
  </si>
  <si>
    <t>Copper Terminal Lug - Food Grade 143</t>
  </si>
  <si>
    <t>PROD-144</t>
  </si>
  <si>
    <t>PVC Conduit - Food Grade 144</t>
  </si>
  <si>
    <t>PROD-145</t>
  </si>
  <si>
    <t>Rubber O-Ring - Food Grade 145</t>
  </si>
  <si>
    <t>PROD-146</t>
  </si>
  <si>
    <t>Aluminum Extrusion - Food Grade 146</t>
  </si>
  <si>
    <t>PROD-147</t>
  </si>
  <si>
    <t>Ceramic Insulator - Food Grade 147</t>
  </si>
  <si>
    <t>PROD-148</t>
  </si>
  <si>
    <t>Nylon Cable Tie - Food Grade 148</t>
  </si>
  <si>
    <t>PROD-149</t>
  </si>
  <si>
    <t>Brass Compression Fitting - Food Grade 149</t>
  </si>
  <si>
    <t>PROD-150</t>
  </si>
  <si>
    <t>Carbon Steel Washer - Food Grade 150</t>
  </si>
  <si>
    <t>PROD-151</t>
  </si>
  <si>
    <t>Silicone Sealant - Food Grade 151</t>
  </si>
  <si>
    <t>PROD-152</t>
  </si>
  <si>
    <t>Fiberglass Sleeve - Food Grade 152</t>
  </si>
  <si>
    <t>PROD-153</t>
  </si>
  <si>
    <t>Polycarbonate Panel - Food Grade 153</t>
  </si>
  <si>
    <t>PROD-154</t>
  </si>
  <si>
    <t>Galvanized U-Bolt - Food Grade 154</t>
  </si>
  <si>
    <t>PROD-155</t>
  </si>
  <si>
    <t>Neoprene Gasket - Food Grade 155</t>
  </si>
  <si>
    <t>PROD-156</t>
  </si>
  <si>
    <t>Copper Busbar - Food Grade 156</t>
  </si>
  <si>
    <t>PROD-157</t>
  </si>
  <si>
    <t>ABS Enclosure - Food Grade 157</t>
  </si>
  <si>
    <t>PROD-158</t>
  </si>
  <si>
    <t>Teflon Tape - Food Grade 158</t>
  </si>
  <si>
    <t>PROD-159</t>
  </si>
  <si>
    <t>Steel Machine Screw - Food Grade 159</t>
  </si>
  <si>
    <t>PROD-160</t>
  </si>
  <si>
    <t>Heat-Shrink Tubing - Food Grade 160</t>
  </si>
  <si>
    <t>PROD-161</t>
  </si>
  <si>
    <t>Industrial Adhesive - Low Voltage 161</t>
  </si>
  <si>
    <t>PROD-162</t>
  </si>
  <si>
    <t>Stainless Steel Bracket - Low Voltage 162</t>
  </si>
  <si>
    <t>PROD-163</t>
  </si>
  <si>
    <t>Copper Terminal Lug - Low Voltage 163</t>
  </si>
  <si>
    <t>PROD-164</t>
  </si>
  <si>
    <t>PVC Conduit - Low Voltage 164</t>
  </si>
  <si>
    <t>PROD-165</t>
  </si>
  <si>
    <t>Rubber O-Ring - Low Voltage 165</t>
  </si>
  <si>
    <t>PROD-166</t>
  </si>
  <si>
    <t>Aluminum Extrusion - Low Voltage 166</t>
  </si>
  <si>
    <t>PROD-167</t>
  </si>
  <si>
    <t>Ceramic Insulator - Low Voltage 167</t>
  </si>
  <si>
    <t>PROD-168</t>
  </si>
  <si>
    <t>Nylon Cable Tie - Low Voltage 168</t>
  </si>
  <si>
    <t>PROD-169</t>
  </si>
  <si>
    <t>Brass Compression Fitting - Low Voltage 169</t>
  </si>
  <si>
    <t>PROD-170</t>
  </si>
  <si>
    <t>Carbon Steel Washer - Low Voltage 170</t>
  </si>
  <si>
    <t>PROD-171</t>
  </si>
  <si>
    <t>Silicone Sealant - Low Voltage 171</t>
  </si>
  <si>
    <t>PROD-172</t>
  </si>
  <si>
    <t>Fiberglass Sleeve - Low Voltage 172</t>
  </si>
  <si>
    <t>PROD-173</t>
  </si>
  <si>
    <t>Polycarbonate Panel - Low Voltage 173</t>
  </si>
  <si>
    <t>PROD-174</t>
  </si>
  <si>
    <t>Galvanized U-Bolt - Low Voltage 174</t>
  </si>
  <si>
    <t>PROD-175</t>
  </si>
  <si>
    <t>Neoprene Gasket - Low Voltage 175</t>
  </si>
  <si>
    <t>PROD-176</t>
  </si>
  <si>
    <t>Copper Busbar - Low Voltage 176</t>
  </si>
  <si>
    <t>PROD-177</t>
  </si>
  <si>
    <t>ABS Enclosure - Low Voltage 177</t>
  </si>
  <si>
    <t>PROD-178</t>
  </si>
  <si>
    <t>Teflon Tape - Low Voltage 178</t>
  </si>
  <si>
    <t>PROD-179</t>
  </si>
  <si>
    <t>Steel Machine Screw - Low Voltage 179</t>
  </si>
  <si>
    <t>PROD-180</t>
  </si>
  <si>
    <t>Heat-Shrink Tubing - Low Voltage 180</t>
  </si>
  <si>
    <t>PROD-181</t>
  </si>
  <si>
    <t>Industrial Adhesive - Industrial Grade 181</t>
  </si>
  <si>
    <t>PROD-182</t>
  </si>
  <si>
    <t>Stainless Steel Bracket - Industrial Grade 182</t>
  </si>
  <si>
    <t>PROD-183</t>
  </si>
  <si>
    <t>Copper Terminal Lug - Industrial Grade 183</t>
  </si>
  <si>
    <t>PROD-184</t>
  </si>
  <si>
    <t>PVC Conduit - Industrial Grade 184</t>
  </si>
  <si>
    <t>PROD-185</t>
  </si>
  <si>
    <t>Rubber O-Ring - Industrial Grade 185</t>
  </si>
  <si>
    <t>PROD-186</t>
  </si>
  <si>
    <t>Aluminum Extrusion - Industrial Grade 186</t>
  </si>
  <si>
    <t>PROD-187</t>
  </si>
  <si>
    <t>Ceramic Insulator - Industrial Grade 187</t>
  </si>
  <si>
    <t>PROD-188</t>
  </si>
  <si>
    <t>Nylon Cable Tie - Industrial Grade 188</t>
  </si>
  <si>
    <t>PROD-189</t>
  </si>
  <si>
    <t>Brass Compression Fitting - Industrial Grade 189</t>
  </si>
  <si>
    <t>PROD-190</t>
  </si>
  <si>
    <t>Carbon Steel Washer - Industrial Grade 190</t>
  </si>
  <si>
    <t>PROD-191</t>
  </si>
  <si>
    <t>Silicone Sealant - Industrial Grade 191</t>
  </si>
  <si>
    <t>PROD-192</t>
  </si>
  <si>
    <t>Fiberglass Sleeve - Industrial Grade 192</t>
  </si>
  <si>
    <t>PROD-193</t>
  </si>
  <si>
    <t>Polycarbonate Panel - Industrial Grade 193</t>
  </si>
  <si>
    <t>PROD-194</t>
  </si>
  <si>
    <t>Galvanized U-Bolt - Industrial Grade 194</t>
  </si>
  <si>
    <t>PROD-195</t>
  </si>
  <si>
    <t>Neoprene Gasket - Industrial Grade 195</t>
  </si>
  <si>
    <t>PROD-196</t>
  </si>
  <si>
    <t>Copper Busbar - Industrial Grade 196</t>
  </si>
  <si>
    <t>PROD-197</t>
  </si>
  <si>
    <t>ABS Enclosure - Industrial Grade 197</t>
  </si>
  <si>
    <t>PROD-198</t>
  </si>
  <si>
    <t>Teflon Tape - Industrial Grade 198</t>
  </si>
  <si>
    <t>PROD-199</t>
  </si>
  <si>
    <t>Steel Machine Screw - Industrial Grade 199</t>
  </si>
  <si>
    <t>PROD-200</t>
  </si>
  <si>
    <t>Heat-Shrink Tubing - Industrial Grade 200</t>
  </si>
  <si>
    <t>PROD-201</t>
  </si>
  <si>
    <t>Industrial Adhesive - Light Duty 201</t>
  </si>
  <si>
    <t>PROD-202</t>
  </si>
  <si>
    <t>Stainless Steel Bracket - Light Duty 202</t>
  </si>
  <si>
    <t>PROD-203</t>
  </si>
  <si>
    <t>Copper Terminal Lug - Light Duty 203</t>
  </si>
  <si>
    <t>PROD-204</t>
  </si>
  <si>
    <t>PVC Conduit - Light Duty 204</t>
  </si>
  <si>
    <t>PROD-205</t>
  </si>
  <si>
    <t>Rubber O-Ring - Light Duty 205</t>
  </si>
  <si>
    <t>PROD-206</t>
  </si>
  <si>
    <t>Aluminum Extrusion - Light Duty 206</t>
  </si>
  <si>
    <t>PROD-207</t>
  </si>
  <si>
    <t>Ceramic Insulator - Light Duty 207</t>
  </si>
  <si>
    <t>PROD-208</t>
  </si>
  <si>
    <t>Nylon Cable Tie - Light Duty 208</t>
  </si>
  <si>
    <t>PROD-209</t>
  </si>
  <si>
    <t>Brass Compression Fitting - Light Duty 209</t>
  </si>
  <si>
    <t>PROD-210</t>
  </si>
  <si>
    <t>Carbon Steel Washer - Light Duty 210</t>
  </si>
  <si>
    <t>PROD-211</t>
  </si>
  <si>
    <t>Silicone Sealant - Light Duty 211</t>
  </si>
  <si>
    <t>PROD-212</t>
  </si>
  <si>
    <t>Fiberglass Sleeve - Light Duty 212</t>
  </si>
  <si>
    <t>PROD-213</t>
  </si>
  <si>
    <t>Polycarbonate Panel - Light Duty 213</t>
  </si>
  <si>
    <t>PROD-214</t>
  </si>
  <si>
    <t>Galvanized U-Bolt - Light Duty 214</t>
  </si>
  <si>
    <t>PROD-215</t>
  </si>
  <si>
    <t>Neoprene Gasket - Light Duty 215</t>
  </si>
  <si>
    <t>PROD-216</t>
  </si>
  <si>
    <t>Copper Busbar - Light Duty 216</t>
  </si>
  <si>
    <t>PROD-217</t>
  </si>
  <si>
    <t>ABS Enclosure - Light Duty 217</t>
  </si>
  <si>
    <t>PROD-218</t>
  </si>
  <si>
    <t>Teflon Tape - Light Duty 218</t>
  </si>
  <si>
    <t>PROD-219</t>
  </si>
  <si>
    <t>Steel Machine Screw - Light Duty 219</t>
  </si>
  <si>
    <t>PROD-220</t>
  </si>
  <si>
    <t>Heat-Shrink Tubing - Light Duty 220</t>
  </si>
  <si>
    <t>PROD-221</t>
  </si>
  <si>
    <t>Industrial Adhesive - Standard Grade 221</t>
  </si>
  <si>
    <t>PROD-222</t>
  </si>
  <si>
    <t>Stainless Steel Bracket - Standard Grade 222</t>
  </si>
  <si>
    <t>PROD-223</t>
  </si>
  <si>
    <t>Copper Terminal Lug - Standard Grade 223</t>
  </si>
  <si>
    <t>PROD-224</t>
  </si>
  <si>
    <t>PVC Conduit - Standard Grade 224</t>
  </si>
  <si>
    <t>PROD-225</t>
  </si>
  <si>
    <t>Rubber O-Ring - Standard Grade 225</t>
  </si>
  <si>
    <t>PROD-226</t>
  </si>
  <si>
    <t>Aluminum Extrusion - Standard Grade 226</t>
  </si>
  <si>
    <t>PROD-227</t>
  </si>
  <si>
    <t>Ceramic Insulator - Standard Grade 227</t>
  </si>
  <si>
    <t>PROD-228</t>
  </si>
  <si>
    <t>Nylon Cable Tie - Standard Grade 228</t>
  </si>
  <si>
    <t>PROD-229</t>
  </si>
  <si>
    <t>Brass Compression Fitting - Standard Grade 229</t>
  </si>
  <si>
    <t>PROD-230</t>
  </si>
  <si>
    <t>Carbon Steel Washer - Standard Grade 230</t>
  </si>
  <si>
    <t>PROD-231</t>
  </si>
  <si>
    <t>Silicone Sealant - Standard Grade 231</t>
  </si>
  <si>
    <t>PROD-232</t>
  </si>
  <si>
    <t>Fiberglass Sleeve - Standard Grade 232</t>
  </si>
  <si>
    <t>PROD-233</t>
  </si>
  <si>
    <t>Polycarbonate Panel - Standard Grade 233</t>
  </si>
  <si>
    <t>PROD-234</t>
  </si>
  <si>
    <t>Galvanized U-Bolt - Standard Grade 234</t>
  </si>
  <si>
    <t>PROD-235</t>
  </si>
  <si>
    <t>Neoprene Gasket - Standard Grade 235</t>
  </si>
  <si>
    <t>PROD-236</t>
  </si>
  <si>
    <t>Copper Busbar - Standard Grade 236</t>
  </si>
  <si>
    <t>PROD-237</t>
  </si>
  <si>
    <t>ABS Enclosure - Standard Grade 237</t>
  </si>
  <si>
    <t>PROD-238</t>
  </si>
  <si>
    <t>Teflon Tape - Standard Grade 238</t>
  </si>
  <si>
    <t>PROD-239</t>
  </si>
  <si>
    <t>Steel Machine Screw - Standard Grade 239</t>
  </si>
  <si>
    <t>PROD-240</t>
  </si>
  <si>
    <t>Heat-Shrink Tubing - Standard Grade 240</t>
  </si>
  <si>
    <t>PROD-241</t>
  </si>
  <si>
    <t>Industrial Adhesive - Heavy Duty 241</t>
  </si>
  <si>
    <t>PROD-242</t>
  </si>
  <si>
    <t>Stainless Steel Bracket - Heavy Duty 242</t>
  </si>
  <si>
    <t>PROD-243</t>
  </si>
  <si>
    <t>Copper Terminal Lug - Heavy Duty 243</t>
  </si>
  <si>
    <t>PROD-244</t>
  </si>
  <si>
    <t>PVC Conduit - Heavy Duty 244</t>
  </si>
  <si>
    <t>PROD-245</t>
  </si>
  <si>
    <t>Rubber O-Ring - Heavy Duty 245</t>
  </si>
  <si>
    <t>PROD-246</t>
  </si>
  <si>
    <t>Aluminum Extrusion - Heavy Duty 246</t>
  </si>
  <si>
    <t>PROD-247</t>
  </si>
  <si>
    <t>Ceramic Insulator - Heavy Duty 247</t>
  </si>
  <si>
    <t>PROD-248</t>
  </si>
  <si>
    <t>Nylon Cable Tie - Heavy Duty 248</t>
  </si>
  <si>
    <t>PROD-249</t>
  </si>
  <si>
    <t>Brass Compression Fitting - Heavy Duty 249</t>
  </si>
  <si>
    <t>PROD-250</t>
  </si>
  <si>
    <t>Carbon Steel Washer - Heavy Duty 250</t>
  </si>
  <si>
    <t>PROD-251</t>
  </si>
  <si>
    <t>Silicone Sealant - Heavy Duty 251</t>
  </si>
  <si>
    <t>PROD-252</t>
  </si>
  <si>
    <t>Fiberglass Sleeve - Heavy Duty 252</t>
  </si>
  <si>
    <t>PROD-253</t>
  </si>
  <si>
    <t>Polycarbonate Panel - Heavy Duty 253</t>
  </si>
  <si>
    <t>PROD-254</t>
  </si>
  <si>
    <t>Galvanized U-Bolt - Heavy Duty 254</t>
  </si>
  <si>
    <t>PROD-255</t>
  </si>
  <si>
    <t>Neoprene Gasket - Heavy Duty 255</t>
  </si>
  <si>
    <t>PROD-256</t>
  </si>
  <si>
    <t>Copper Busbar - Heavy Duty 256</t>
  </si>
  <si>
    <t>PROD-257</t>
  </si>
  <si>
    <t>ABS Enclosure - Heavy Duty 257</t>
  </si>
  <si>
    <t>PROD-258</t>
  </si>
  <si>
    <t>Teflon Tape - Heavy Duty 258</t>
  </si>
  <si>
    <t>PROD-259</t>
  </si>
  <si>
    <t>Steel Machine Screw - Heavy Duty 259</t>
  </si>
  <si>
    <t>PROD-260</t>
  </si>
  <si>
    <t>Heat-Shrink Tubing - Heavy Duty 260</t>
  </si>
  <si>
    <t>PROD-261</t>
  </si>
  <si>
    <t>Industrial Adhesive - High Temperature 261</t>
  </si>
  <si>
    <t>PROD-262</t>
  </si>
  <si>
    <t>Stainless Steel Bracket - High Temperature 262</t>
  </si>
  <si>
    <t>PROD-263</t>
  </si>
  <si>
    <t>Copper Terminal Lug - High Temperature 263</t>
  </si>
  <si>
    <t>PROD-264</t>
  </si>
  <si>
    <t>PVC Conduit - High Temperature 264</t>
  </si>
  <si>
    <t>PROD-265</t>
  </si>
  <si>
    <t>Rubber O-Ring - High Temperature 265</t>
  </si>
  <si>
    <t>PROD-266</t>
  </si>
  <si>
    <t>Aluminum Extrusion - High Temperature 266</t>
  </si>
  <si>
    <t>PROD-267</t>
  </si>
  <si>
    <t>Ceramic Insulator - High Temperature 267</t>
  </si>
  <si>
    <t>PROD-268</t>
  </si>
  <si>
    <t>Nylon Cable Tie - High Temperature 268</t>
  </si>
  <si>
    <t>PROD-269</t>
  </si>
  <si>
    <t>Brass Compression Fitting - High Temperature 269</t>
  </si>
  <si>
    <t>PROD-270</t>
  </si>
  <si>
    <t>Carbon Steel Washer - High Temperature 270</t>
  </si>
  <si>
    <t>PROD-271</t>
  </si>
  <si>
    <t>Silicone Sealant - High Temperature 271</t>
  </si>
  <si>
    <t>PROD-272</t>
  </si>
  <si>
    <t>Fiberglass Sleeve - High Temperature 272</t>
  </si>
  <si>
    <t>PROD-273</t>
  </si>
  <si>
    <t>Polycarbonate Panel - High Temperature 273</t>
  </si>
  <si>
    <t>PROD-274</t>
  </si>
  <si>
    <t>Galvanized U-Bolt - High Temperature 274</t>
  </si>
  <si>
    <t>PROD-275</t>
  </si>
  <si>
    <t>Neoprene Gasket - High Temperature 275</t>
  </si>
  <si>
    <t>PROD-276</t>
  </si>
  <si>
    <t>Copper Busbar - High Temperature 276</t>
  </si>
  <si>
    <t>PROD-277</t>
  </si>
  <si>
    <t>ABS Enclosure - High Temperature 277</t>
  </si>
  <si>
    <t>PROD-278</t>
  </si>
  <si>
    <t>Teflon Tape - High Temperature 278</t>
  </si>
  <si>
    <t>PROD-279</t>
  </si>
  <si>
    <t>Steel Machine Screw - High Temperature 279</t>
  </si>
  <si>
    <t>PROD-280</t>
  </si>
  <si>
    <t>Heat-Shrink Tubing - High Temperature 280</t>
  </si>
  <si>
    <t>PROD-281</t>
  </si>
  <si>
    <t>Industrial Adhesive - Corrosion Resistant 281</t>
  </si>
  <si>
    <t>PROD-282</t>
  </si>
  <si>
    <t>Stainless Steel Bracket - Corrosion Resistant 282</t>
  </si>
  <si>
    <t>PROD-283</t>
  </si>
  <si>
    <t>Copper Terminal Lug - Corrosion Resistant 283</t>
  </si>
  <si>
    <t>PROD-284</t>
  </si>
  <si>
    <t>PVC Conduit - Corrosion Resistant 284</t>
  </si>
  <si>
    <t>PROD-285</t>
  </si>
  <si>
    <t>Rubber O-Ring - Corrosion Resistant 285</t>
  </si>
  <si>
    <t>PROD-286</t>
  </si>
  <si>
    <t>Aluminum Extrusion - Corrosion Resistant 286</t>
  </si>
  <si>
    <t>PROD-287</t>
  </si>
  <si>
    <t>Ceramic Insulator - Corrosion Resistant 287</t>
  </si>
  <si>
    <t>PROD-288</t>
  </si>
  <si>
    <t>Nylon Cable Tie - Corrosion Resistant 288</t>
  </si>
  <si>
    <t>PROD-289</t>
  </si>
  <si>
    <t>Brass Compression Fitting - Corrosion Resistant 289</t>
  </si>
  <si>
    <t>PROD-290</t>
  </si>
  <si>
    <t>Carbon Steel Washer - Corrosion Resistant 290</t>
  </si>
  <si>
    <t>PROD-291</t>
  </si>
  <si>
    <t>Silicone Sealant - Corrosion Resistant 291</t>
  </si>
  <si>
    <t>PROD-292</t>
  </si>
  <si>
    <t>Fiberglass Sleeve - Corrosion Resistant 292</t>
  </si>
  <si>
    <t>PROD-293</t>
  </si>
  <si>
    <t>Polycarbonate Panel - Corrosion Resistant 293</t>
  </si>
  <si>
    <t>PROD-294</t>
  </si>
  <si>
    <t>Galvanized U-Bolt - Corrosion Resistant 294</t>
  </si>
  <si>
    <t>PROD-295</t>
  </si>
  <si>
    <t>Neoprene Gasket - Corrosion Resistant 295</t>
  </si>
  <si>
    <t>PROD-296</t>
  </si>
  <si>
    <t>Copper Busbar - Corrosion Resistant 296</t>
  </si>
  <si>
    <t>PROD-297</t>
  </si>
  <si>
    <t>ABS Enclosure - Corrosion Resistant 297</t>
  </si>
  <si>
    <t>PROD-298</t>
  </si>
  <si>
    <t>Teflon Tape - Corrosion Resistant 298</t>
  </si>
  <si>
    <t>PROD-299</t>
  </si>
  <si>
    <t>Steel Machine Screw - Corrosion Resistant 299</t>
  </si>
  <si>
    <t>PROD-300</t>
  </si>
  <si>
    <t>Heat-Shrink Tubing - Corrosion Resistant 300</t>
  </si>
  <si>
    <t>PROD-301</t>
  </si>
  <si>
    <t>Industrial Adhesive - Precision Grade 301</t>
  </si>
  <si>
    <t>PROD-302</t>
  </si>
  <si>
    <t>Stainless Steel Bracket - Precision Grade 302</t>
  </si>
  <si>
    <t>PROD-303</t>
  </si>
  <si>
    <t>Copper Terminal Lug - Precision Grade 303</t>
  </si>
  <si>
    <t>PROD-304</t>
  </si>
  <si>
    <t>PVC Conduit - Precision Grade 304</t>
  </si>
  <si>
    <t>PROD-305</t>
  </si>
  <si>
    <t>Rubber O-Ring - Precision Grade 305</t>
  </si>
  <si>
    <t>PROD-306</t>
  </si>
  <si>
    <t>Aluminum Extrusion - Precision Grade 306</t>
  </si>
  <si>
    <t>PROD-307</t>
  </si>
  <si>
    <t>Ceramic Insulator - Precision Grade 307</t>
  </si>
  <si>
    <t>PROD-308</t>
  </si>
  <si>
    <t>Nylon Cable Tie - Precision Grade 308</t>
  </si>
  <si>
    <t>PROD-309</t>
  </si>
  <si>
    <t>Brass Compression Fitting - Precision Grade 309</t>
  </si>
  <si>
    <t>PROD-310</t>
  </si>
  <si>
    <t>Carbon Steel Washer - Precision Grade 310</t>
  </si>
  <si>
    <t>PROD-311</t>
  </si>
  <si>
    <t>Silicone Sealant - Precision Grade 311</t>
  </si>
  <si>
    <t>PROD-312</t>
  </si>
  <si>
    <t>Fiberglass Sleeve - Precision Grade 312</t>
  </si>
  <si>
    <t>PROD-313</t>
  </si>
  <si>
    <t>Polycarbonate Panel - Precision Grade 313</t>
  </si>
  <si>
    <t>PROD-314</t>
  </si>
  <si>
    <t>Galvanized U-Bolt - Precision Grade 314</t>
  </si>
  <si>
    <t>PROD-315</t>
  </si>
  <si>
    <t>Neoprene Gasket - Precision Grade 315</t>
  </si>
  <si>
    <t>PROD-316</t>
  </si>
  <si>
    <t>Copper Busbar - Precision Grade 316</t>
  </si>
  <si>
    <t>PROD-317</t>
  </si>
  <si>
    <t>ABS Enclosure - Precision Grade 317</t>
  </si>
  <si>
    <t>PROD-318</t>
  </si>
  <si>
    <t>Teflon Tape - Precision Grade 318</t>
  </si>
  <si>
    <t>PROD-319</t>
  </si>
  <si>
    <t>Steel Machine Screw - Precision Grade 319</t>
  </si>
  <si>
    <t>PROD-320</t>
  </si>
  <si>
    <t>Heat-Shrink Tubing - Precision Grade 320</t>
  </si>
  <si>
    <t>PROD-321</t>
  </si>
  <si>
    <t>Industrial Adhesive - Outdoor Rated 321</t>
  </si>
  <si>
    <t>PROD-322</t>
  </si>
  <si>
    <t>Stainless Steel Bracket - Outdoor Rated 322</t>
  </si>
  <si>
    <t>PROD-323</t>
  </si>
  <si>
    <t>Copper Terminal Lug - Outdoor Rated 323</t>
  </si>
  <si>
    <t>PROD-324</t>
  </si>
  <si>
    <t>PVC Conduit - Outdoor Rated 324</t>
  </si>
  <si>
    <t>PROD-325</t>
  </si>
  <si>
    <t>Rubber O-Ring - Outdoor Rated 325</t>
  </si>
  <si>
    <t>PROD-326</t>
  </si>
  <si>
    <t>Aluminum Extrusion - Outdoor Rated 326</t>
  </si>
  <si>
    <t>PROD-327</t>
  </si>
  <si>
    <t>Ceramic Insulator - Outdoor Rated 327</t>
  </si>
  <si>
    <t>PROD-328</t>
  </si>
  <si>
    <t>Nylon Cable Tie - Outdoor Rated 328</t>
  </si>
  <si>
    <t>PROD-329</t>
  </si>
  <si>
    <t>Brass Compression Fitting - Outdoor Rated 329</t>
  </si>
  <si>
    <t>PROD-330</t>
  </si>
  <si>
    <t>Carbon Steel Washer - Outdoor Rated 330</t>
  </si>
  <si>
    <t>PROD-331</t>
  </si>
  <si>
    <t>Silicone Sealant - Outdoor Rated 331</t>
  </si>
  <si>
    <t>PROD-332</t>
  </si>
  <si>
    <t>Fiberglass Sleeve - Outdoor Rated 332</t>
  </si>
  <si>
    <t>PROD-333</t>
  </si>
  <si>
    <t>Polycarbonate Panel - Outdoor Rated 333</t>
  </si>
  <si>
    <t>PROD-334</t>
  </si>
  <si>
    <t>Galvanized U-Bolt - Outdoor Rated 334</t>
  </si>
  <si>
    <t>PROD-335</t>
  </si>
  <si>
    <t>Neoprene Gasket - Outdoor Rated 335</t>
  </si>
  <si>
    <t>PROD-336</t>
  </si>
  <si>
    <t>Copper Busbar - Outdoor Rated 336</t>
  </si>
  <si>
    <t>PROD-337</t>
  </si>
  <si>
    <t>ABS Enclosure - Outdoor Rated 337</t>
  </si>
  <si>
    <t>PROD-338</t>
  </si>
  <si>
    <t>Teflon Tape - Outdoor Rated 338</t>
  </si>
  <si>
    <t>PROD-339</t>
  </si>
  <si>
    <t>Steel Machine Screw - Outdoor Rated 339</t>
  </si>
  <si>
    <t>PROD-340</t>
  </si>
  <si>
    <t>Heat-Shrink Tubing - Outdoor Rated 340</t>
  </si>
  <si>
    <t>PROD-341</t>
  </si>
  <si>
    <t>Industrial Adhesive - Food Grade 341</t>
  </si>
  <si>
    <t>PROD-342</t>
  </si>
  <si>
    <t>Stainless Steel Bracket - Food Grade 342</t>
  </si>
  <si>
    <t>PROD-343</t>
  </si>
  <si>
    <t>Copper Terminal Lug - Food Grade 343</t>
  </si>
  <si>
    <t>PROD-344</t>
  </si>
  <si>
    <t>PVC Conduit - Food Grade 344</t>
  </si>
  <si>
    <t>PROD-345</t>
  </si>
  <si>
    <t>Rubber O-Ring - Food Grade 345</t>
  </si>
  <si>
    <t>PROD-346</t>
  </si>
  <si>
    <t>Aluminum Extrusion - Food Grade 346</t>
  </si>
  <si>
    <t>PROD-347</t>
  </si>
  <si>
    <t>Ceramic Insulator - Food Grade 347</t>
  </si>
  <si>
    <t>PROD-348</t>
  </si>
  <si>
    <t>Nylon Cable Tie - Food Grade 348</t>
  </si>
  <si>
    <t>PROD-349</t>
  </si>
  <si>
    <t>Brass Compression Fitting - Food Grade 349</t>
  </si>
  <si>
    <t>PROD-350</t>
  </si>
  <si>
    <t>Carbon Steel Washer - Food Grade 350</t>
  </si>
  <si>
    <t>PROD-351</t>
  </si>
  <si>
    <t>Silicone Sealant - Food Grade 351</t>
  </si>
  <si>
    <t>PROD-352</t>
  </si>
  <si>
    <t>Fiberglass Sleeve - Food Grade 352</t>
  </si>
  <si>
    <t>PROD-353</t>
  </si>
  <si>
    <t>Polycarbonate Panel - Food Grade 353</t>
  </si>
  <si>
    <t>PROD-354</t>
  </si>
  <si>
    <t>Galvanized U-Bolt - Food Grade 354</t>
  </si>
  <si>
    <t>PROD-355</t>
  </si>
  <si>
    <t>Neoprene Gasket - Food Grade 355</t>
  </si>
  <si>
    <t>PROD-356</t>
  </si>
  <si>
    <t>Copper Busbar - Food Grade 356</t>
  </si>
  <si>
    <t>PROD-357</t>
  </si>
  <si>
    <t>ABS Enclosure - Food Grade 357</t>
  </si>
  <si>
    <t>PROD-358</t>
  </si>
  <si>
    <t>Teflon Tape - Food Grade 358</t>
  </si>
  <si>
    <t>PROD-359</t>
  </si>
  <si>
    <t>Steel Machine Screw - Food Grade 359</t>
  </si>
  <si>
    <t>PROD-360</t>
  </si>
  <si>
    <t>Heat-Shrink Tubing - Food Grade 360</t>
  </si>
  <si>
    <t>PROD-361</t>
  </si>
  <si>
    <t>Industrial Adhesive - Low Voltage 361</t>
  </si>
  <si>
    <t>PROD-362</t>
  </si>
  <si>
    <t>Stainless Steel Bracket - Low Voltage 362</t>
  </si>
  <si>
    <t>PROD-363</t>
  </si>
  <si>
    <t>Copper Terminal Lug - Low Voltage 363</t>
  </si>
  <si>
    <t>PROD-364</t>
  </si>
  <si>
    <t>PVC Conduit - Low Voltage 364</t>
  </si>
  <si>
    <t>PROD-365</t>
  </si>
  <si>
    <t>Rubber O-Ring - Low Voltage 365</t>
  </si>
  <si>
    <t>PROD-366</t>
  </si>
  <si>
    <t>Aluminum Extrusion - Low Voltage 366</t>
  </si>
  <si>
    <t>PROD-367</t>
  </si>
  <si>
    <t>Ceramic Insulator - Low Voltage 367</t>
  </si>
  <si>
    <t>PROD-368</t>
  </si>
  <si>
    <t>Nylon Cable Tie - Low Voltage 368</t>
  </si>
  <si>
    <t>PROD-369</t>
  </si>
  <si>
    <t>Brass Compression Fitting - Low Voltage 369</t>
  </si>
  <si>
    <t>PROD-370</t>
  </si>
  <si>
    <t>Carbon Steel Washer - Low Voltage 370</t>
  </si>
  <si>
    <t>PROD-371</t>
  </si>
  <si>
    <t>Silicone Sealant - Low Voltage 371</t>
  </si>
  <si>
    <t>PROD-372</t>
  </si>
  <si>
    <t>Fiberglass Sleeve - Low Voltage 372</t>
  </si>
  <si>
    <t>PROD-373</t>
  </si>
  <si>
    <t>Polycarbonate Panel - Low Voltage 373</t>
  </si>
  <si>
    <t>PROD-374</t>
  </si>
  <si>
    <t>Galvanized U-Bolt - Low Voltage 374</t>
  </si>
  <si>
    <t>PROD-375</t>
  </si>
  <si>
    <t>Neoprene Gasket - Low Voltage 375</t>
  </si>
  <si>
    <t>PROD-376</t>
  </si>
  <si>
    <t>Copper Busbar - Low Voltage 376</t>
  </si>
  <si>
    <t>PROD-377</t>
  </si>
  <si>
    <t>ABS Enclosure - Low Voltage 377</t>
  </si>
  <si>
    <t>PROD-378</t>
  </si>
  <si>
    <t>Teflon Tape - Low Voltage 378</t>
  </si>
  <si>
    <t>PROD-379</t>
  </si>
  <si>
    <t>Steel Machine Screw - Low Voltage 379</t>
  </si>
  <si>
    <t>PROD-380</t>
  </si>
  <si>
    <t>Heat-Shrink Tubing - Low Voltage 380</t>
  </si>
  <si>
    <t>PROD-381</t>
  </si>
  <si>
    <t>Industrial Adhesive - Industrial Grade 381</t>
  </si>
  <si>
    <t>PROD-382</t>
  </si>
  <si>
    <t>Stainless Steel Bracket - Industrial Grade 382</t>
  </si>
  <si>
    <t>PROD-383</t>
  </si>
  <si>
    <t>Copper Terminal Lug - Industrial Grade 383</t>
  </si>
  <si>
    <t>PROD-384</t>
  </si>
  <si>
    <t>PVC Conduit - Industrial Grade 384</t>
  </si>
  <si>
    <t>PROD-385</t>
  </si>
  <si>
    <t>Rubber O-Ring - Industrial Grade 385</t>
  </si>
  <si>
    <t>PROD-386</t>
  </si>
  <si>
    <t>Aluminum Extrusion - Industrial Grade 386</t>
  </si>
  <si>
    <t>PROD-387</t>
  </si>
  <si>
    <t>Ceramic Insulator - Industrial Grade 387</t>
  </si>
  <si>
    <t>PROD-388</t>
  </si>
  <si>
    <t>Nylon Cable Tie - Industrial Grade 388</t>
  </si>
  <si>
    <t>PROD-389</t>
  </si>
  <si>
    <t>Brass Compression Fitting - Industrial Grade 389</t>
  </si>
  <si>
    <t>PROD-390</t>
  </si>
  <si>
    <t>Carbon Steel Washer - Industrial Grade 390</t>
  </si>
  <si>
    <t>PROD-391</t>
  </si>
  <si>
    <t>Silicone Sealant - Industrial Grade 391</t>
  </si>
  <si>
    <t>PROD-392</t>
  </si>
  <si>
    <t>Fiberglass Sleeve - Industrial Grade 392</t>
  </si>
  <si>
    <t>PROD-393</t>
  </si>
  <si>
    <t>Polycarbonate Panel - Industrial Grade 393</t>
  </si>
  <si>
    <t>PROD-394</t>
  </si>
  <si>
    <t>Galvanized U-Bolt - Industrial Grade 394</t>
  </si>
  <si>
    <t>PROD-395</t>
  </si>
  <si>
    <t>Neoprene Gasket - Industrial Grade 395</t>
  </si>
  <si>
    <t>PROD-396</t>
  </si>
  <si>
    <t>Copper Busbar - Industrial Grade 396</t>
  </si>
  <si>
    <t>PROD-397</t>
  </si>
  <si>
    <t>ABS Enclosure - Industrial Grade 397</t>
  </si>
  <si>
    <t>PROD-398</t>
  </si>
  <si>
    <t>Teflon Tape - Industrial Grade 398</t>
  </si>
  <si>
    <t>PROD-399</t>
  </si>
  <si>
    <t>Steel Machine Screw - Industrial Grade 399</t>
  </si>
  <si>
    <t>PROD-400</t>
  </si>
  <si>
    <t>Heat-Shrink Tubing - Industrial Grade 400</t>
  </si>
  <si>
    <t>PROD-401</t>
  </si>
  <si>
    <t>Industrial Adhesive - Light Duty 401</t>
  </si>
  <si>
    <t>PROD-402</t>
  </si>
  <si>
    <t>Stainless Steel Bracket - Light Duty 402</t>
  </si>
  <si>
    <t>PROD-403</t>
  </si>
  <si>
    <t>Copper Terminal Lug - Light Duty 403</t>
  </si>
  <si>
    <t>PROD-404</t>
  </si>
  <si>
    <t>PVC Conduit - Light Duty 404</t>
  </si>
  <si>
    <t>PROD-405</t>
  </si>
  <si>
    <t>Rubber O-Ring - Light Duty 405</t>
  </si>
  <si>
    <t>PROD-406</t>
  </si>
  <si>
    <t>Aluminum Extrusion - Light Duty 406</t>
  </si>
  <si>
    <t>PROD-407</t>
  </si>
  <si>
    <t>Ceramic Insulator - Light Duty 407</t>
  </si>
  <si>
    <t>PROD-408</t>
  </si>
  <si>
    <t>Nylon Cable Tie - Light Duty 408</t>
  </si>
  <si>
    <t>PROD-409</t>
  </si>
  <si>
    <t>Brass Compression Fitting - Light Duty 409</t>
  </si>
  <si>
    <t>PROD-410</t>
  </si>
  <si>
    <t>Carbon Steel Washer - Light Duty 410</t>
  </si>
  <si>
    <t>PROD-411</t>
  </si>
  <si>
    <t>Silicone Sealant - Light Duty 411</t>
  </si>
  <si>
    <t>PROD-412</t>
  </si>
  <si>
    <t>Fiberglass Sleeve - Light Duty 412</t>
  </si>
  <si>
    <t>PROD-413</t>
  </si>
  <si>
    <t>Polycarbonate Panel - Light Duty 413</t>
  </si>
  <si>
    <t>PROD-414</t>
  </si>
  <si>
    <t>Galvanized U-Bolt - Light Duty 414</t>
  </si>
  <si>
    <t>PROD-415</t>
  </si>
  <si>
    <t>Neoprene Gasket - Light Duty 415</t>
  </si>
  <si>
    <t>PROD-416</t>
  </si>
  <si>
    <t>Copper Busbar - Light Duty 416</t>
  </si>
  <si>
    <t>PROD-417</t>
  </si>
  <si>
    <t>ABS Enclosure - Light Duty 417</t>
  </si>
  <si>
    <t>PROD-418</t>
  </si>
  <si>
    <t>Teflon Tape - Light Duty 418</t>
  </si>
  <si>
    <t>PROD-419</t>
  </si>
  <si>
    <t>Steel Machine Screw - Light Duty 419</t>
  </si>
  <si>
    <t>PROD-420</t>
  </si>
  <si>
    <t>Heat-Shrink Tubing - Light Duty 420</t>
  </si>
  <si>
    <t>PROD-421</t>
  </si>
  <si>
    <t>Industrial Adhesive - Standard Grade 421</t>
  </si>
  <si>
    <t>PROD-422</t>
  </si>
  <si>
    <t>Stainless Steel Bracket - Standard Grade 422</t>
  </si>
  <si>
    <t>PROD-423</t>
  </si>
  <si>
    <t>Copper Terminal Lug - Standard Grade 423</t>
  </si>
  <si>
    <t>PROD-424</t>
  </si>
  <si>
    <t>PVC Conduit - Standard Grade 424</t>
  </si>
  <si>
    <t>PROD-425</t>
  </si>
  <si>
    <t>Rubber O-Ring - Standard Grade 425</t>
  </si>
  <si>
    <t>PROD-426</t>
  </si>
  <si>
    <t>Aluminum Extrusion - Standard Grade 426</t>
  </si>
  <si>
    <t>PROD-427</t>
  </si>
  <si>
    <t>Ceramic Insulator - Standard Grade 427</t>
  </si>
  <si>
    <t>PROD-428</t>
  </si>
  <si>
    <t>Nylon Cable Tie - Standard Grade 428</t>
  </si>
  <si>
    <t>PROD-429</t>
  </si>
  <si>
    <t>Brass Compression Fitting - Standard Grade 429</t>
  </si>
  <si>
    <t>PROD-430</t>
  </si>
  <si>
    <t>Carbon Steel Washer - Standard Grade 430</t>
  </si>
  <si>
    <t>PROD-431</t>
  </si>
  <si>
    <t>Silicone Sealant - Standard Grade 431</t>
  </si>
  <si>
    <t>PROD-432</t>
  </si>
  <si>
    <t>Fiberglass Sleeve - Standard Grade 432</t>
  </si>
  <si>
    <t>PROD-433</t>
  </si>
  <si>
    <t>Polycarbonate Panel - Standard Grade 433</t>
  </si>
  <si>
    <t>PROD-434</t>
  </si>
  <si>
    <t>Galvanized U-Bolt - Standard Grade 434</t>
  </si>
  <si>
    <t>PROD-435</t>
  </si>
  <si>
    <t>Neoprene Gasket - Standard Grade 435</t>
  </si>
  <si>
    <t>PROD-436</t>
  </si>
  <si>
    <t>Copper Busbar - Standard Grade 436</t>
  </si>
  <si>
    <t>PROD-437</t>
  </si>
  <si>
    <t>ABS Enclosure - Standard Grade 437</t>
  </si>
  <si>
    <t>PROD-438</t>
  </si>
  <si>
    <t>Teflon Tape - Standard Grade 438</t>
  </si>
  <si>
    <t>PROD-439</t>
  </si>
  <si>
    <t>Steel Machine Screw - Standard Grade 439</t>
  </si>
  <si>
    <t>PROD-440</t>
  </si>
  <si>
    <t>Heat-Shrink Tubing - Standard Grade 440</t>
  </si>
  <si>
    <t>PROD-441</t>
  </si>
  <si>
    <t>Industrial Adhesive - Heavy Duty 441</t>
  </si>
  <si>
    <t>PROD-442</t>
  </si>
  <si>
    <t>Stainless Steel Bracket - Heavy Duty 442</t>
  </si>
  <si>
    <t>PROD-443</t>
  </si>
  <si>
    <t>Copper Terminal Lug - Heavy Duty 443</t>
  </si>
  <si>
    <t>PROD-444</t>
  </si>
  <si>
    <t>PVC Conduit - Heavy Duty 444</t>
  </si>
  <si>
    <t>PROD-445</t>
  </si>
  <si>
    <t>Rubber O-Ring - Heavy Duty 445</t>
  </si>
  <si>
    <t>PROD-446</t>
  </si>
  <si>
    <t>Aluminum Extrusion - Heavy Duty 446</t>
  </si>
  <si>
    <t>PROD-447</t>
  </si>
  <si>
    <t>Ceramic Insulator - Heavy Duty 447</t>
  </si>
  <si>
    <t>PROD-448</t>
  </si>
  <si>
    <t>Nylon Cable Tie - Heavy Duty 448</t>
  </si>
  <si>
    <t>PROD-449</t>
  </si>
  <si>
    <t>Brass Compression Fitting - Heavy Duty 449</t>
  </si>
  <si>
    <t>PROD-450</t>
  </si>
  <si>
    <t>Carbon Steel Washer - Heavy Duty 450</t>
  </si>
  <si>
    <t>PROD-451</t>
  </si>
  <si>
    <t>Silicone Sealant - Heavy Duty 451</t>
  </si>
  <si>
    <t>PROD-452</t>
  </si>
  <si>
    <t>Fiberglass Sleeve - Heavy Duty 452</t>
  </si>
  <si>
    <t>PROD-453</t>
  </si>
  <si>
    <t>Polycarbonate Panel - Heavy Duty 453</t>
  </si>
  <si>
    <t>PROD-454</t>
  </si>
  <si>
    <t>Galvanized U-Bolt - Heavy Duty 454</t>
  </si>
  <si>
    <t>PROD-455</t>
  </si>
  <si>
    <t>Neoprene Gasket - Heavy Duty 455</t>
  </si>
  <si>
    <t>PROD-456</t>
  </si>
  <si>
    <t>Copper Busbar - Heavy Duty 456</t>
  </si>
  <si>
    <t>PROD-457</t>
  </si>
  <si>
    <t>ABS Enclosure - Heavy Duty 457</t>
  </si>
  <si>
    <t>PROD-458</t>
  </si>
  <si>
    <t>Teflon Tape - Heavy Duty 458</t>
  </si>
  <si>
    <t>PROD-459</t>
  </si>
  <si>
    <t>Steel Machine Screw - Heavy Duty 459</t>
  </si>
  <si>
    <t>PROD-460</t>
  </si>
  <si>
    <t>Heat-Shrink Tubing - Heavy Duty 460</t>
  </si>
  <si>
    <t>PROD-461</t>
  </si>
  <si>
    <t>Industrial Adhesive - High Temperature 461</t>
  </si>
  <si>
    <t>PROD-462</t>
  </si>
  <si>
    <t>Stainless Steel Bracket - High Temperature 462</t>
  </si>
  <si>
    <t>PROD-463</t>
  </si>
  <si>
    <t>Copper Terminal Lug - High Temperature 463</t>
  </si>
  <si>
    <t>PROD-464</t>
  </si>
  <si>
    <t>PVC Conduit - High Temperature 464</t>
  </si>
  <si>
    <t>PROD-465</t>
  </si>
  <si>
    <t>Rubber O-Ring - High Temperature 465</t>
  </si>
  <si>
    <t>PROD-466</t>
  </si>
  <si>
    <t>Aluminum Extrusion - High Temperature 466</t>
  </si>
  <si>
    <t>PROD-467</t>
  </si>
  <si>
    <t>Ceramic Insulator - High Temperature 467</t>
  </si>
  <si>
    <t>PROD-468</t>
  </si>
  <si>
    <t>Nylon Cable Tie - High Temperature 468</t>
  </si>
  <si>
    <t>PROD-469</t>
  </si>
  <si>
    <t>Brass Compression Fitting - High Temperature 469</t>
  </si>
  <si>
    <t>PROD-470</t>
  </si>
  <si>
    <t>Carbon Steel Washer - High Temperature 470</t>
  </si>
  <si>
    <t>PROD-471</t>
  </si>
  <si>
    <t>Silicone Sealant - High Temperature 471</t>
  </si>
  <si>
    <t>PROD-472</t>
  </si>
  <si>
    <t>Fiberglass Sleeve - High Temperature 472</t>
  </si>
  <si>
    <t>PROD-473</t>
  </si>
  <si>
    <t>Polycarbonate Panel - High Temperature 473</t>
  </si>
  <si>
    <t>PROD-474</t>
  </si>
  <si>
    <t>Galvanized U-Bolt - High Temperature 474</t>
  </si>
  <si>
    <t>PROD-475</t>
  </si>
  <si>
    <t>Neoprene Gasket - High Temperature 475</t>
  </si>
  <si>
    <t>PROD-476</t>
  </si>
  <si>
    <t>Copper Busbar - High Temperature 476</t>
  </si>
  <si>
    <t>PROD-477</t>
  </si>
  <si>
    <t>ABS Enclosure - High Temperature 477</t>
  </si>
  <si>
    <t>PROD-478</t>
  </si>
  <si>
    <t>Teflon Tape - High Temperature 478</t>
  </si>
  <si>
    <t>PROD-479</t>
  </si>
  <si>
    <t>Steel Machine Screw - High Temperature 479</t>
  </si>
  <si>
    <t>PROD-480</t>
  </si>
  <si>
    <t>Heat-Shrink Tubing - High Temperature 480</t>
  </si>
  <si>
    <t>PROD-481</t>
  </si>
  <si>
    <t>Industrial Adhesive - Corrosion Resistant 481</t>
  </si>
  <si>
    <t>PROD-482</t>
  </si>
  <si>
    <t>Stainless Steel Bracket - Corrosion Resistant 482</t>
  </si>
  <si>
    <t>PROD-483</t>
  </si>
  <si>
    <t>Copper Terminal Lug - Corrosion Resistant 483</t>
  </si>
  <si>
    <t>PROD-484</t>
  </si>
  <si>
    <t>PVC Conduit - Corrosion Resistant 484</t>
  </si>
  <si>
    <t>PROD-485</t>
  </si>
  <si>
    <t>Rubber O-Ring - Corrosion Resistant 485</t>
  </si>
  <si>
    <t>PROD-486</t>
  </si>
  <si>
    <t>Aluminum Extrusion - Corrosion Resistant 486</t>
  </si>
  <si>
    <t>PROD-487</t>
  </si>
  <si>
    <t>Ceramic Insulator - Corrosion Resistant 487</t>
  </si>
  <si>
    <t>PROD-488</t>
  </si>
  <si>
    <t>Nylon Cable Tie - Corrosion Resistant 488</t>
  </si>
  <si>
    <t>PROD-489</t>
  </si>
  <si>
    <t>Brass Compression Fitting - Corrosion Resistant 489</t>
  </si>
  <si>
    <t>PROD-490</t>
  </si>
  <si>
    <t>Carbon Steel Washer - Corrosion Resistant 490</t>
  </si>
  <si>
    <t>PROD-491</t>
  </si>
  <si>
    <t>Silicone Sealant - Corrosion Resistant 491</t>
  </si>
  <si>
    <t>PROD-492</t>
  </si>
  <si>
    <t>Fiberglass Sleeve - Corrosion Resistant 492</t>
  </si>
  <si>
    <t>PROD-493</t>
  </si>
  <si>
    <t>Polycarbonate Panel - Corrosion Resistant 493</t>
  </si>
  <si>
    <t>PROD-494</t>
  </si>
  <si>
    <t>Galvanized U-Bolt - Corrosion Resistant 494</t>
  </si>
  <si>
    <t>PROD-495</t>
  </si>
  <si>
    <t>Neoprene Gasket - Corrosion Resistant 495</t>
  </si>
  <si>
    <t>PROD-496</t>
  </si>
  <si>
    <t>Copper Busbar - Corrosion Resistant 496</t>
  </si>
  <si>
    <t>PROD-497</t>
  </si>
  <si>
    <t>ABS Enclosure - Corrosion Resistant 497</t>
  </si>
  <si>
    <t>PROD-498</t>
  </si>
  <si>
    <t>Teflon Tape - Corrosion Resistant 498</t>
  </si>
  <si>
    <t>PROD-499</t>
  </si>
  <si>
    <t>Steel Machine Screw - Corrosion Resistant 499</t>
  </si>
  <si>
    <t>PROD-500</t>
  </si>
  <si>
    <t>Heat-Shrink Tubing - Corrosion Resistant 500</t>
  </si>
  <si>
    <t>DATE</t>
  </si>
  <si>
    <t>SALE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</si>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</sst>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₱#,##0.00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₱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₱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numFmt numFmtId="164" formatCode="\₱#,##0.00"/>
      <alignment horizontal="right"/>
    </dxf>
    <dxf>
      <numFmt numFmtId="3" formatCode="#,##0"/>
      <alignment horizontal="right"/>
    </dxf>
    <dxf>
      <font>
        <b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2471F-1FAC-4098-BFDE-3449DFB5B63F}" name="ProductMaterialsTable" displayName="ProductMaterialsTable" ref="A1:D501" totalsRowShown="0" headerRowDxfId="10">
  <autoFilter ref="A1:D501" xr:uid="{23215356-185F-43CF-86F8-5204C914629F}"/>
  <tableColumns count="4">
    <tableColumn id="1" xr3:uid="{75BB0919-790E-4084-8F6A-00DC0A3B0BB6}" name="SKU">
      <calculatedColumnFormula>"PROD-"&amp;TEXT(ROW()-1,"000")</calculatedColumnFormula>
    </tableColumn>
    <tableColumn id="2" xr3:uid="{964FD0A9-993E-4074-A026-C1B280784FCA}" name="DESCRIPTION">
      <calculatedColumnFormula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calculatedColumnFormula>
    </tableColumn>
    <tableColumn id="3" xr3:uid="{11A961D0-5E45-4BCF-8311-D234FAF95409}" name="QUANTITY" dataDxfId="9">
      <calculatedColumnFormula>MOD((ROW()-2)*37,491)+10</calculatedColumnFormula>
    </tableColumn>
    <tableColumn id="4" xr3:uid="{6E312666-33E7-4E8A-924A-80778A2FD71A}" name="UNIT PRICE" dataDxfId="8">
      <calculatedColumnFormula>ROUND(15+MOD((ROW()-2)*137,19850)/10,2)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BDBB-E907-4BEA-9E67-C4F535A16BBE}" name="SalesTable" displayName="SalesTable" ref="A1:F501" totalsRowShown="0" headerRowDxfId="7" dataDxfId="6">
  <autoFilter ref="A1:F501" xr:uid="{F53EBDBB-E907-4BEA-9E67-C4F535A16BBE}"/>
  <tableColumns count="6">
    <tableColumn id="1" xr3:uid="{A9F68C78-FACD-4661-B5A6-7D10BF99F76F}" name="SKU" dataDxfId="5"/>
    <tableColumn id="2" xr3:uid="{C0D5BDD4-B56F-43BA-9C2E-858D8824551F}" name="DATE" dataDxfId="4"/>
    <tableColumn id="3" xr3:uid="{3CC8EDD5-00B8-447B-B677-02AF4A9B3431}" name="DESCRIPTION" dataDxfId="3"/>
    <tableColumn id="4" xr3:uid="{2D6641A4-931F-4A46-9F69-5B349270BF2D}" name="QUANTITY" dataDxfId="2"/>
    <tableColumn id="5" xr3:uid="{BF2CA237-8A3A-47B1-9F1F-EA8BAE40F549}" name="SALE PRICE" dataDxfId="1"/>
    <tableColumn id="6" xr3:uid="{25DA39A2-E43D-4609-B5E4-A53F7C21F6B4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9B30-645E-499A-9F2E-96FA576C58E4}">
  <dimension ref="A1:D501"/>
  <sheetViews>
    <sheetView topLeftCell="A23" zoomScaleNormal="100" workbookViewId="0">
      <selection activeCell="B61" sqref="B61"/>
    </sheetView>
  </sheetViews>
  <sheetFormatPr defaultRowHeight="14.4" x14ac:dyDescent="0.3"/>
  <cols>
    <col min="1" max="1" width="16.6640625" customWidth="1"/>
    <col min="2" max="2" width="40.77734375" customWidth="1"/>
    <col min="3" max="3" width="15.77734375" customWidth="1"/>
    <col min="4" max="4" width="17.5546875" customWidth="1"/>
  </cols>
  <sheetData>
    <row r="1" spans="1:4" x14ac:dyDescent="0.3">
      <c r="A1" s="3" t="s">
        <v>3</v>
      </c>
      <c r="B1" s="3" t="s">
        <v>2</v>
      </c>
      <c r="C1" s="3" t="s">
        <v>1</v>
      </c>
      <c r="D1" s="3" t="s">
        <v>0</v>
      </c>
    </row>
    <row r="2" spans="1:4" x14ac:dyDescent="0.3">
      <c r="A2" t="str">
        <f t="shared" ref="A2:A65" si="0">"PROD-"&amp;TEXT(ROW()-1,"000")</f>
        <v>PROD-001</v>
      </c>
      <c r="B2" t="str">
        <f t="shared" ref="B2:B65" si="1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001</v>
      </c>
      <c r="C2" s="2">
        <f t="shared" ref="C2:C65" si="2">MOD((ROW()-2)*37,491)+10</f>
        <v>10</v>
      </c>
      <c r="D2" s="1">
        <f>ROUND(15+MOD((ROW()-2)*137,19850)/10,2)</f>
        <v>15</v>
      </c>
    </row>
    <row r="3" spans="1:4" x14ac:dyDescent="0.3">
      <c r="A3" t="str">
        <f t="shared" si="0"/>
        <v>PROD-002</v>
      </c>
      <c r="B3" t="str">
        <f t="shared" si="1"/>
        <v>Stainless Steel Bracket - Light Duty 002</v>
      </c>
      <c r="C3" s="2">
        <f t="shared" si="2"/>
        <v>47</v>
      </c>
      <c r="D3" s="1">
        <f t="shared" ref="D2:D65" si="3">ROUND(15+MOD((ROW()-2)*137,19850)/10,2)</f>
        <v>28.7</v>
      </c>
    </row>
    <row r="4" spans="1:4" x14ac:dyDescent="0.3">
      <c r="A4" t="str">
        <f t="shared" si="0"/>
        <v>PROD-003</v>
      </c>
      <c r="B4" t="str">
        <f t="shared" si="1"/>
        <v>Copper Terminal Lug - Light Duty 003</v>
      </c>
      <c r="C4" s="2">
        <f t="shared" si="2"/>
        <v>84</v>
      </c>
      <c r="D4" s="1">
        <f t="shared" si="3"/>
        <v>42.4</v>
      </c>
    </row>
    <row r="5" spans="1:4" x14ac:dyDescent="0.3">
      <c r="A5" t="str">
        <f t="shared" si="0"/>
        <v>PROD-004</v>
      </c>
      <c r="B5" t="str">
        <f t="shared" si="1"/>
        <v>PVC Conduit - Light Duty 004</v>
      </c>
      <c r="C5" s="2">
        <f t="shared" si="2"/>
        <v>121</v>
      </c>
      <c r="D5" s="1">
        <f t="shared" si="3"/>
        <v>56.1</v>
      </c>
    </row>
    <row r="6" spans="1:4" x14ac:dyDescent="0.3">
      <c r="A6" t="str">
        <f t="shared" si="0"/>
        <v>PROD-005</v>
      </c>
      <c r="B6" t="str">
        <f t="shared" si="1"/>
        <v>Rubber O-Ring - Light Duty 005</v>
      </c>
      <c r="C6" s="2">
        <f t="shared" si="2"/>
        <v>158</v>
      </c>
      <c r="D6" s="1">
        <f t="shared" si="3"/>
        <v>69.8</v>
      </c>
    </row>
    <row r="7" spans="1:4" x14ac:dyDescent="0.3">
      <c r="A7" t="str">
        <f t="shared" si="0"/>
        <v>PROD-006</v>
      </c>
      <c r="B7" t="str">
        <f t="shared" si="1"/>
        <v>Aluminum Extrusion - Light Duty 006</v>
      </c>
      <c r="C7" s="2">
        <f t="shared" si="2"/>
        <v>195</v>
      </c>
      <c r="D7" s="1">
        <f t="shared" si="3"/>
        <v>83.5</v>
      </c>
    </row>
    <row r="8" spans="1:4" x14ac:dyDescent="0.3">
      <c r="A8" t="str">
        <f t="shared" si="0"/>
        <v>PROD-007</v>
      </c>
      <c r="B8" t="str">
        <f t="shared" si="1"/>
        <v>Ceramic Insulator - Light Duty 007</v>
      </c>
      <c r="C8" s="2">
        <f t="shared" si="2"/>
        <v>232</v>
      </c>
      <c r="D8" s="1">
        <f t="shared" si="3"/>
        <v>97.2</v>
      </c>
    </row>
    <row r="9" spans="1:4" x14ac:dyDescent="0.3">
      <c r="A9" t="str">
        <f t="shared" si="0"/>
        <v>PROD-008</v>
      </c>
      <c r="B9" t="str">
        <f t="shared" si="1"/>
        <v>Nylon Cable Tie - Light Duty 008</v>
      </c>
      <c r="C9" s="2">
        <f t="shared" si="2"/>
        <v>269</v>
      </c>
      <c r="D9" s="1">
        <f t="shared" si="3"/>
        <v>110.9</v>
      </c>
    </row>
    <row r="10" spans="1:4" x14ac:dyDescent="0.3">
      <c r="A10" t="str">
        <f t="shared" si="0"/>
        <v>PROD-009</v>
      </c>
      <c r="B10" t="str">
        <f t="shared" si="1"/>
        <v>Brass Compression Fitting - Light Duty 009</v>
      </c>
      <c r="C10" s="2">
        <f t="shared" si="2"/>
        <v>306</v>
      </c>
      <c r="D10" s="1">
        <f t="shared" si="3"/>
        <v>124.6</v>
      </c>
    </row>
    <row r="11" spans="1:4" x14ac:dyDescent="0.3">
      <c r="A11" t="str">
        <f t="shared" si="0"/>
        <v>PROD-010</v>
      </c>
      <c r="B11" t="str">
        <f t="shared" si="1"/>
        <v>Carbon Steel Washer - Light Duty 010</v>
      </c>
      <c r="C11" s="2">
        <f t="shared" si="2"/>
        <v>343</v>
      </c>
      <c r="D11" s="1">
        <f t="shared" si="3"/>
        <v>138.30000000000001</v>
      </c>
    </row>
    <row r="12" spans="1:4" x14ac:dyDescent="0.3">
      <c r="A12" t="str">
        <f t="shared" si="0"/>
        <v>PROD-011</v>
      </c>
      <c r="B12" t="str">
        <f t="shared" si="1"/>
        <v>Silicone Sealant - Light Duty 011</v>
      </c>
      <c r="C12" s="2">
        <f t="shared" si="2"/>
        <v>380</v>
      </c>
      <c r="D12" s="1">
        <f t="shared" si="3"/>
        <v>152</v>
      </c>
    </row>
    <row r="13" spans="1:4" x14ac:dyDescent="0.3">
      <c r="A13" t="str">
        <f t="shared" si="0"/>
        <v>PROD-012</v>
      </c>
      <c r="B13" t="str">
        <f t="shared" si="1"/>
        <v>Fiberglass Sleeve - Light Duty 012</v>
      </c>
      <c r="C13" s="2">
        <f t="shared" si="2"/>
        <v>417</v>
      </c>
      <c r="D13" s="1">
        <f t="shared" si="3"/>
        <v>165.7</v>
      </c>
    </row>
    <row r="14" spans="1:4" x14ac:dyDescent="0.3">
      <c r="A14" t="str">
        <f t="shared" si="0"/>
        <v>PROD-013</v>
      </c>
      <c r="B14" t="str">
        <f t="shared" si="1"/>
        <v>Polycarbonate Panel - Light Duty 013</v>
      </c>
      <c r="C14" s="2">
        <f t="shared" si="2"/>
        <v>454</v>
      </c>
      <c r="D14" s="1">
        <f t="shared" si="3"/>
        <v>179.4</v>
      </c>
    </row>
    <row r="15" spans="1:4" x14ac:dyDescent="0.3">
      <c r="A15" t="str">
        <f t="shared" si="0"/>
        <v>PROD-014</v>
      </c>
      <c r="B15" t="str">
        <f t="shared" si="1"/>
        <v>Galvanized U-Bolt - Light Duty 014</v>
      </c>
      <c r="C15" s="2">
        <f t="shared" si="2"/>
        <v>491</v>
      </c>
      <c r="D15" s="1">
        <f t="shared" si="3"/>
        <v>193.1</v>
      </c>
    </row>
    <row r="16" spans="1:4" x14ac:dyDescent="0.3">
      <c r="A16" t="str">
        <f t="shared" si="0"/>
        <v>PROD-015</v>
      </c>
      <c r="B16" t="str">
        <f t="shared" si="1"/>
        <v>Neoprene Gasket - Light Duty 015</v>
      </c>
      <c r="C16" s="2">
        <f t="shared" si="2"/>
        <v>37</v>
      </c>
      <c r="D16" s="1">
        <f t="shared" si="3"/>
        <v>206.8</v>
      </c>
    </row>
    <row r="17" spans="1:4" x14ac:dyDescent="0.3">
      <c r="A17" t="str">
        <f t="shared" si="0"/>
        <v>PROD-016</v>
      </c>
      <c r="B17" t="str">
        <f t="shared" si="1"/>
        <v>Copper Busbar - Light Duty 016</v>
      </c>
      <c r="C17" s="2">
        <f t="shared" si="2"/>
        <v>74</v>
      </c>
      <c r="D17" s="1">
        <f t="shared" si="3"/>
        <v>220.5</v>
      </c>
    </row>
    <row r="18" spans="1:4" x14ac:dyDescent="0.3">
      <c r="A18" t="str">
        <f t="shared" si="0"/>
        <v>PROD-017</v>
      </c>
      <c r="B18" t="str">
        <f t="shared" si="1"/>
        <v>ABS Enclosure - Light Duty 017</v>
      </c>
      <c r="C18" s="2">
        <f t="shared" si="2"/>
        <v>111</v>
      </c>
      <c r="D18" s="1">
        <f t="shared" si="3"/>
        <v>234.2</v>
      </c>
    </row>
    <row r="19" spans="1:4" x14ac:dyDescent="0.3">
      <c r="A19" t="str">
        <f t="shared" si="0"/>
        <v>PROD-018</v>
      </c>
      <c r="B19" t="str">
        <f t="shared" si="1"/>
        <v>Teflon Tape - Light Duty 018</v>
      </c>
      <c r="C19" s="2">
        <f t="shared" si="2"/>
        <v>148</v>
      </c>
      <c r="D19" s="1">
        <f t="shared" si="3"/>
        <v>247.9</v>
      </c>
    </row>
    <row r="20" spans="1:4" x14ac:dyDescent="0.3">
      <c r="A20" t="str">
        <f t="shared" si="0"/>
        <v>PROD-019</v>
      </c>
      <c r="B20" t="str">
        <f t="shared" si="1"/>
        <v>Steel Machine Screw - Light Duty 019</v>
      </c>
      <c r="C20" s="2">
        <f t="shared" si="2"/>
        <v>185</v>
      </c>
      <c r="D20" s="1">
        <f t="shared" si="3"/>
        <v>261.60000000000002</v>
      </c>
    </row>
    <row r="21" spans="1:4" x14ac:dyDescent="0.3">
      <c r="A21" t="str">
        <f t="shared" si="0"/>
        <v>PROD-020</v>
      </c>
      <c r="B21" t="str">
        <f t="shared" si="1"/>
        <v>Heat-Shrink Tubing - Light Duty 020</v>
      </c>
      <c r="C21" s="2">
        <f t="shared" si="2"/>
        <v>222</v>
      </c>
      <c r="D21" s="1">
        <f t="shared" si="3"/>
        <v>275.3</v>
      </c>
    </row>
    <row r="22" spans="1:4" x14ac:dyDescent="0.3">
      <c r="A22" t="str">
        <f t="shared" si="0"/>
        <v>PROD-021</v>
      </c>
      <c r="B22" t="str">
        <f t="shared" si="1"/>
        <v>Industrial Adhesive - Standard Grade 021</v>
      </c>
      <c r="C22" s="2">
        <f t="shared" si="2"/>
        <v>259</v>
      </c>
      <c r="D22" s="1">
        <f t="shared" si="3"/>
        <v>289</v>
      </c>
    </row>
    <row r="23" spans="1:4" x14ac:dyDescent="0.3">
      <c r="A23" t="str">
        <f t="shared" si="0"/>
        <v>PROD-022</v>
      </c>
      <c r="B23" t="str">
        <f t="shared" si="1"/>
        <v>Stainless Steel Bracket - Standard Grade 022</v>
      </c>
      <c r="C23" s="2">
        <f t="shared" si="2"/>
        <v>296</v>
      </c>
      <c r="D23" s="1">
        <f t="shared" si="3"/>
        <v>302.7</v>
      </c>
    </row>
    <row r="24" spans="1:4" x14ac:dyDescent="0.3">
      <c r="A24" t="str">
        <f t="shared" si="0"/>
        <v>PROD-023</v>
      </c>
      <c r="B24" t="str">
        <f t="shared" si="1"/>
        <v>Copper Terminal Lug - Standard Grade 023</v>
      </c>
      <c r="C24" s="2">
        <f t="shared" si="2"/>
        <v>333</v>
      </c>
      <c r="D24" s="1">
        <f t="shared" si="3"/>
        <v>316.39999999999998</v>
      </c>
    </row>
    <row r="25" spans="1:4" x14ac:dyDescent="0.3">
      <c r="A25" t="str">
        <f t="shared" si="0"/>
        <v>PROD-024</v>
      </c>
      <c r="B25" t="str">
        <f t="shared" si="1"/>
        <v>PVC Conduit - Standard Grade 024</v>
      </c>
      <c r="C25" s="2">
        <f t="shared" si="2"/>
        <v>370</v>
      </c>
      <c r="D25" s="1">
        <f t="shared" si="3"/>
        <v>330.1</v>
      </c>
    </row>
    <row r="26" spans="1:4" x14ac:dyDescent="0.3">
      <c r="A26" t="str">
        <f t="shared" si="0"/>
        <v>PROD-025</v>
      </c>
      <c r="B26" t="str">
        <f t="shared" si="1"/>
        <v>Rubber O-Ring - Standard Grade 025</v>
      </c>
      <c r="C26" s="2">
        <f t="shared" si="2"/>
        <v>407</v>
      </c>
      <c r="D26" s="1">
        <f t="shared" si="3"/>
        <v>343.8</v>
      </c>
    </row>
    <row r="27" spans="1:4" x14ac:dyDescent="0.3">
      <c r="A27" t="str">
        <f t="shared" si="0"/>
        <v>PROD-026</v>
      </c>
      <c r="B27" t="str">
        <f t="shared" si="1"/>
        <v>Aluminum Extrusion - Standard Grade 026</v>
      </c>
      <c r="C27" s="2">
        <f t="shared" si="2"/>
        <v>444</v>
      </c>
      <c r="D27" s="1">
        <f t="shared" si="3"/>
        <v>357.5</v>
      </c>
    </row>
    <row r="28" spans="1:4" x14ac:dyDescent="0.3">
      <c r="A28" t="str">
        <f t="shared" si="0"/>
        <v>PROD-027</v>
      </c>
      <c r="B28" t="str">
        <f t="shared" si="1"/>
        <v>Ceramic Insulator - Standard Grade 027</v>
      </c>
      <c r="C28" s="2">
        <f t="shared" si="2"/>
        <v>481</v>
      </c>
      <c r="D28" s="1">
        <f>ROUND(15+MOD((ROW()-2)*137,19850)/10,2)</f>
        <v>371.2</v>
      </c>
    </row>
    <row r="29" spans="1:4" x14ac:dyDescent="0.3">
      <c r="A29" t="str">
        <f t="shared" si="0"/>
        <v>PROD-028</v>
      </c>
      <c r="B29" t="str">
        <f t="shared" si="1"/>
        <v>Nylon Cable Tie - Standard Grade 028</v>
      </c>
      <c r="C29" s="2">
        <f t="shared" si="2"/>
        <v>27</v>
      </c>
      <c r="D29" s="1">
        <f t="shared" si="3"/>
        <v>384.9</v>
      </c>
    </row>
    <row r="30" spans="1:4" x14ac:dyDescent="0.3">
      <c r="A30" t="str">
        <f t="shared" si="0"/>
        <v>PROD-029</v>
      </c>
      <c r="B30" t="str">
        <f t="shared" si="1"/>
        <v>Brass Compression Fitting - Standard Grade 029</v>
      </c>
      <c r="C30" s="2">
        <f t="shared" si="2"/>
        <v>64</v>
      </c>
      <c r="D30" s="1">
        <f t="shared" si="3"/>
        <v>398.6</v>
      </c>
    </row>
    <row r="31" spans="1:4" x14ac:dyDescent="0.3">
      <c r="A31" t="str">
        <f t="shared" si="0"/>
        <v>PROD-030</v>
      </c>
      <c r="B31" t="str">
        <f t="shared" si="1"/>
        <v>Carbon Steel Washer - Standard Grade 030</v>
      </c>
      <c r="C31" s="2">
        <f t="shared" si="2"/>
        <v>101</v>
      </c>
      <c r="D31" s="1">
        <f t="shared" si="3"/>
        <v>412.3</v>
      </c>
    </row>
    <row r="32" spans="1:4" x14ac:dyDescent="0.3">
      <c r="A32" t="str">
        <f t="shared" si="0"/>
        <v>PROD-031</v>
      </c>
      <c r="B32" t="str">
        <f t="shared" si="1"/>
        <v>Silicone Sealant - Standard Grade 031</v>
      </c>
      <c r="C32" s="2">
        <f t="shared" si="2"/>
        <v>138</v>
      </c>
      <c r="D32" s="1">
        <f t="shared" si="3"/>
        <v>426</v>
      </c>
    </row>
    <row r="33" spans="1:4" x14ac:dyDescent="0.3">
      <c r="A33" t="str">
        <f t="shared" si="0"/>
        <v>PROD-032</v>
      </c>
      <c r="B33" t="str">
        <f t="shared" si="1"/>
        <v>Fiberglass Sleeve - Standard Grade 032</v>
      </c>
      <c r="C33" s="2">
        <f t="shared" si="2"/>
        <v>175</v>
      </c>
      <c r="D33" s="1">
        <f t="shared" si="3"/>
        <v>439.7</v>
      </c>
    </row>
    <row r="34" spans="1:4" x14ac:dyDescent="0.3">
      <c r="A34" t="str">
        <f t="shared" si="0"/>
        <v>PROD-033</v>
      </c>
      <c r="B34" t="str">
        <f t="shared" si="1"/>
        <v>Polycarbonate Panel - Standard Grade 033</v>
      </c>
      <c r="C34" s="2">
        <f t="shared" si="2"/>
        <v>212</v>
      </c>
      <c r="D34" s="1">
        <f t="shared" si="3"/>
        <v>453.4</v>
      </c>
    </row>
    <row r="35" spans="1:4" x14ac:dyDescent="0.3">
      <c r="A35" t="str">
        <f t="shared" si="0"/>
        <v>PROD-034</v>
      </c>
      <c r="B35" t="str">
        <f t="shared" si="1"/>
        <v>Galvanized U-Bolt - Standard Grade 034</v>
      </c>
      <c r="C35" s="2">
        <f t="shared" si="2"/>
        <v>249</v>
      </c>
      <c r="D35" s="1">
        <f t="shared" si="3"/>
        <v>467.1</v>
      </c>
    </row>
    <row r="36" spans="1:4" x14ac:dyDescent="0.3">
      <c r="A36" t="str">
        <f t="shared" si="0"/>
        <v>PROD-035</v>
      </c>
      <c r="B36" t="str">
        <f t="shared" si="1"/>
        <v>Neoprene Gasket - Standard Grade 035</v>
      </c>
      <c r="C36" s="2">
        <f t="shared" si="2"/>
        <v>286</v>
      </c>
      <c r="D36" s="1">
        <f t="shared" si="3"/>
        <v>480.8</v>
      </c>
    </row>
    <row r="37" spans="1:4" x14ac:dyDescent="0.3">
      <c r="A37" t="str">
        <f t="shared" si="0"/>
        <v>PROD-036</v>
      </c>
      <c r="B37" t="str">
        <f t="shared" si="1"/>
        <v>Copper Busbar - Standard Grade 036</v>
      </c>
      <c r="C37" s="2">
        <f t="shared" si="2"/>
        <v>323</v>
      </c>
      <c r="D37" s="1">
        <f t="shared" si="3"/>
        <v>494.5</v>
      </c>
    </row>
    <row r="38" spans="1:4" x14ac:dyDescent="0.3">
      <c r="A38" t="str">
        <f t="shared" si="0"/>
        <v>PROD-037</v>
      </c>
      <c r="B38" t="str">
        <f t="shared" si="1"/>
        <v>ABS Enclosure - Standard Grade 037</v>
      </c>
      <c r="C38" s="2">
        <f t="shared" si="2"/>
        <v>360</v>
      </c>
      <c r="D38" s="1">
        <f t="shared" si="3"/>
        <v>508.2</v>
      </c>
    </row>
    <row r="39" spans="1:4" x14ac:dyDescent="0.3">
      <c r="A39" t="str">
        <f t="shared" si="0"/>
        <v>PROD-038</v>
      </c>
      <c r="B39" t="str">
        <f t="shared" si="1"/>
        <v>Teflon Tape - Standard Grade 038</v>
      </c>
      <c r="C39" s="2">
        <f t="shared" si="2"/>
        <v>397</v>
      </c>
      <c r="D39" s="1">
        <f t="shared" si="3"/>
        <v>521.9</v>
      </c>
    </row>
    <row r="40" spans="1:4" x14ac:dyDescent="0.3">
      <c r="A40" t="str">
        <f t="shared" si="0"/>
        <v>PROD-039</v>
      </c>
      <c r="B40" t="str">
        <f t="shared" si="1"/>
        <v>Steel Machine Screw - Standard Grade 039</v>
      </c>
      <c r="C40" s="2">
        <f t="shared" si="2"/>
        <v>434</v>
      </c>
      <c r="D40" s="1">
        <f t="shared" si="3"/>
        <v>535.6</v>
      </c>
    </row>
    <row r="41" spans="1:4" x14ac:dyDescent="0.3">
      <c r="A41" t="str">
        <f t="shared" si="0"/>
        <v>PROD-040</v>
      </c>
      <c r="B41" t="str">
        <f t="shared" si="1"/>
        <v>Heat-Shrink Tubing - Standard Grade 040</v>
      </c>
      <c r="C41" s="2">
        <f t="shared" si="2"/>
        <v>471</v>
      </c>
      <c r="D41" s="1">
        <f t="shared" si="3"/>
        <v>549.29999999999995</v>
      </c>
    </row>
    <row r="42" spans="1:4" x14ac:dyDescent="0.3">
      <c r="A42" t="str">
        <f t="shared" si="0"/>
        <v>PROD-041</v>
      </c>
      <c r="B42" t="str">
        <f t="shared" si="1"/>
        <v>Industrial Adhesive - Heavy Duty 041</v>
      </c>
      <c r="C42" s="2">
        <f t="shared" si="2"/>
        <v>17</v>
      </c>
      <c r="D42" s="1">
        <f t="shared" si="3"/>
        <v>563</v>
      </c>
    </row>
    <row r="43" spans="1:4" x14ac:dyDescent="0.3">
      <c r="A43" t="str">
        <f t="shared" si="0"/>
        <v>PROD-042</v>
      </c>
      <c r="B43" t="str">
        <f t="shared" si="1"/>
        <v>Stainless Steel Bracket - Heavy Duty 042</v>
      </c>
      <c r="C43" s="2">
        <f t="shared" si="2"/>
        <v>54</v>
      </c>
      <c r="D43" s="1">
        <f t="shared" si="3"/>
        <v>576.70000000000005</v>
      </c>
    </row>
    <row r="44" spans="1:4" x14ac:dyDescent="0.3">
      <c r="A44" t="str">
        <f t="shared" si="0"/>
        <v>PROD-043</v>
      </c>
      <c r="B44" t="str">
        <f t="shared" si="1"/>
        <v>Copper Terminal Lug - Heavy Duty 043</v>
      </c>
      <c r="C44" s="2">
        <f t="shared" si="2"/>
        <v>91</v>
      </c>
      <c r="D44" s="1">
        <f t="shared" si="3"/>
        <v>590.4</v>
      </c>
    </row>
    <row r="45" spans="1:4" x14ac:dyDescent="0.3">
      <c r="A45" t="str">
        <f t="shared" si="0"/>
        <v>PROD-044</v>
      </c>
      <c r="B45" t="str">
        <f t="shared" si="1"/>
        <v>PVC Conduit - Heavy Duty 044</v>
      </c>
      <c r="C45" s="2">
        <f t="shared" si="2"/>
        <v>128</v>
      </c>
      <c r="D45" s="1">
        <f t="shared" si="3"/>
        <v>604.1</v>
      </c>
    </row>
    <row r="46" spans="1:4" x14ac:dyDescent="0.3">
      <c r="A46" t="str">
        <f t="shared" si="0"/>
        <v>PROD-045</v>
      </c>
      <c r="B46" t="str">
        <f t="shared" si="1"/>
        <v>Rubber O-Ring - Heavy Duty 045</v>
      </c>
      <c r="C46" s="2">
        <f t="shared" si="2"/>
        <v>165</v>
      </c>
      <c r="D46" s="1">
        <f t="shared" si="3"/>
        <v>617.79999999999995</v>
      </c>
    </row>
    <row r="47" spans="1:4" x14ac:dyDescent="0.3">
      <c r="A47" t="str">
        <f t="shared" si="0"/>
        <v>PROD-046</v>
      </c>
      <c r="B47" t="str">
        <f t="shared" si="1"/>
        <v>Aluminum Extrusion - Heavy Duty 046</v>
      </c>
      <c r="C47" s="2">
        <f t="shared" si="2"/>
        <v>202</v>
      </c>
      <c r="D47" s="1">
        <f t="shared" si="3"/>
        <v>631.5</v>
      </c>
    </row>
    <row r="48" spans="1:4" x14ac:dyDescent="0.3">
      <c r="A48" t="str">
        <f t="shared" si="0"/>
        <v>PROD-047</v>
      </c>
      <c r="B48" t="str">
        <f t="shared" si="1"/>
        <v>Ceramic Insulator - Heavy Duty 047</v>
      </c>
      <c r="C48" s="2">
        <f t="shared" si="2"/>
        <v>239</v>
      </c>
      <c r="D48" s="1">
        <f t="shared" si="3"/>
        <v>645.20000000000005</v>
      </c>
    </row>
    <row r="49" spans="1:4" x14ac:dyDescent="0.3">
      <c r="A49" t="str">
        <f t="shared" si="0"/>
        <v>PROD-048</v>
      </c>
      <c r="B49" t="str">
        <f t="shared" si="1"/>
        <v>Nylon Cable Tie - Heavy Duty 048</v>
      </c>
      <c r="C49" s="2">
        <f t="shared" si="2"/>
        <v>276</v>
      </c>
      <c r="D49" s="1">
        <f t="shared" si="3"/>
        <v>658.9</v>
      </c>
    </row>
    <row r="50" spans="1:4" x14ac:dyDescent="0.3">
      <c r="A50" t="str">
        <f t="shared" si="0"/>
        <v>PROD-049</v>
      </c>
      <c r="B50" t="str">
        <f t="shared" si="1"/>
        <v>Brass Compression Fitting - Heavy Duty 049</v>
      </c>
      <c r="C50" s="2">
        <f t="shared" si="2"/>
        <v>313</v>
      </c>
      <c r="D50" s="1">
        <f t="shared" si="3"/>
        <v>672.6</v>
      </c>
    </row>
    <row r="51" spans="1:4" x14ac:dyDescent="0.3">
      <c r="A51" t="str">
        <f t="shared" si="0"/>
        <v>PROD-050</v>
      </c>
      <c r="B51" t="str">
        <f t="shared" si="1"/>
        <v>Carbon Steel Washer - Heavy Duty 050</v>
      </c>
      <c r="C51" s="2">
        <f t="shared" si="2"/>
        <v>350</v>
      </c>
      <c r="D51" s="1">
        <f t="shared" si="3"/>
        <v>686.3</v>
      </c>
    </row>
    <row r="52" spans="1:4" x14ac:dyDescent="0.3">
      <c r="A52" t="str">
        <f t="shared" si="0"/>
        <v>PROD-051</v>
      </c>
      <c r="B52" t="str">
        <f t="shared" si="1"/>
        <v>Silicone Sealant - Heavy Duty 051</v>
      </c>
      <c r="C52" s="2">
        <f t="shared" si="2"/>
        <v>387</v>
      </c>
      <c r="D52" s="1">
        <f t="shared" si="3"/>
        <v>700</v>
      </c>
    </row>
    <row r="53" spans="1:4" x14ac:dyDescent="0.3">
      <c r="A53" t="str">
        <f t="shared" si="0"/>
        <v>PROD-052</v>
      </c>
      <c r="B53" t="str">
        <f t="shared" si="1"/>
        <v>Fiberglass Sleeve - Heavy Duty 052</v>
      </c>
      <c r="C53" s="2">
        <f t="shared" si="2"/>
        <v>424</v>
      </c>
      <c r="D53" s="1">
        <f t="shared" si="3"/>
        <v>713.7</v>
      </c>
    </row>
    <row r="54" spans="1:4" x14ac:dyDescent="0.3">
      <c r="A54" t="str">
        <f t="shared" si="0"/>
        <v>PROD-053</v>
      </c>
      <c r="B54" t="str">
        <f t="shared" si="1"/>
        <v>Polycarbonate Panel - Heavy Duty 053</v>
      </c>
      <c r="C54" s="2">
        <f t="shared" si="2"/>
        <v>461</v>
      </c>
      <c r="D54" s="1">
        <f t="shared" si="3"/>
        <v>727.4</v>
      </c>
    </row>
    <row r="55" spans="1:4" x14ac:dyDescent="0.3">
      <c r="A55" t="str">
        <f t="shared" si="0"/>
        <v>PROD-054</v>
      </c>
      <c r="B55" t="str">
        <f t="shared" si="1"/>
        <v>Galvanized U-Bolt - Heavy Duty 054</v>
      </c>
      <c r="C55" s="2">
        <f t="shared" si="2"/>
        <v>498</v>
      </c>
      <c r="D55" s="1">
        <f t="shared" si="3"/>
        <v>741.1</v>
      </c>
    </row>
    <row r="56" spans="1:4" x14ac:dyDescent="0.3">
      <c r="A56" t="str">
        <f t="shared" si="0"/>
        <v>PROD-055</v>
      </c>
      <c r="B56" t="str">
        <f t="shared" si="1"/>
        <v>Neoprene Gasket - Heavy Duty 055</v>
      </c>
      <c r="C56" s="2">
        <f t="shared" si="2"/>
        <v>44</v>
      </c>
      <c r="D56" s="1">
        <f t="shared" si="3"/>
        <v>754.8</v>
      </c>
    </row>
    <row r="57" spans="1:4" x14ac:dyDescent="0.3">
      <c r="A57" t="str">
        <f t="shared" si="0"/>
        <v>PROD-056</v>
      </c>
      <c r="B57" t="str">
        <f t="shared" si="1"/>
        <v>Copper Busbar - Heavy Duty 056</v>
      </c>
      <c r="C57" s="2">
        <f t="shared" si="2"/>
        <v>81</v>
      </c>
      <c r="D57" s="1">
        <f t="shared" si="3"/>
        <v>768.5</v>
      </c>
    </row>
    <row r="58" spans="1:4" x14ac:dyDescent="0.3">
      <c r="A58" t="str">
        <f t="shared" si="0"/>
        <v>PROD-057</v>
      </c>
      <c r="B58" t="str">
        <f t="shared" si="1"/>
        <v>ABS Enclosure - Heavy Duty 057</v>
      </c>
      <c r="C58" s="2">
        <f t="shared" si="2"/>
        <v>118</v>
      </c>
      <c r="D58" s="1">
        <f t="shared" si="3"/>
        <v>782.2</v>
      </c>
    </row>
    <row r="59" spans="1:4" x14ac:dyDescent="0.3">
      <c r="A59" t="str">
        <f t="shared" si="0"/>
        <v>PROD-058</v>
      </c>
      <c r="B59" t="str">
        <f t="shared" si="1"/>
        <v>Teflon Tape - Heavy Duty 058</v>
      </c>
      <c r="C59" s="2">
        <f t="shared" si="2"/>
        <v>155</v>
      </c>
      <c r="D59" s="1">
        <f t="shared" si="3"/>
        <v>795.9</v>
      </c>
    </row>
    <row r="60" spans="1:4" x14ac:dyDescent="0.3">
      <c r="A60" t="str">
        <f t="shared" si="0"/>
        <v>PROD-059</v>
      </c>
      <c r="B60" t="str">
        <f t="shared" si="1"/>
        <v>Steel Machine Screw - Heavy Duty 059</v>
      </c>
      <c r="C60" s="2">
        <f t="shared" si="2"/>
        <v>192</v>
      </c>
      <c r="D60" s="1">
        <f t="shared" si="3"/>
        <v>809.6</v>
      </c>
    </row>
    <row r="61" spans="1:4" x14ac:dyDescent="0.3">
      <c r="A61" t="str">
        <f t="shared" si="0"/>
        <v>PROD-060</v>
      </c>
      <c r="B61" t="str">
        <f t="shared" si="1"/>
        <v>Heat-Shrink Tubing - Heavy Duty 060</v>
      </c>
      <c r="C61" s="2">
        <f t="shared" si="2"/>
        <v>229</v>
      </c>
      <c r="D61" s="1">
        <f t="shared" si="3"/>
        <v>823.3</v>
      </c>
    </row>
    <row r="62" spans="1:4" x14ac:dyDescent="0.3">
      <c r="A62" t="str">
        <f t="shared" si="0"/>
        <v>PROD-061</v>
      </c>
      <c r="B62" t="str">
        <f t="shared" si="1"/>
        <v>Industrial Adhesive - High Temperature 061</v>
      </c>
      <c r="C62" s="2">
        <f t="shared" si="2"/>
        <v>266</v>
      </c>
      <c r="D62" s="1">
        <f t="shared" si="3"/>
        <v>837</v>
      </c>
    </row>
    <row r="63" spans="1:4" x14ac:dyDescent="0.3">
      <c r="A63" t="str">
        <f t="shared" si="0"/>
        <v>PROD-062</v>
      </c>
      <c r="B63" t="str">
        <f t="shared" si="1"/>
        <v>Stainless Steel Bracket - High Temperature 062</v>
      </c>
      <c r="C63" s="2">
        <f t="shared" si="2"/>
        <v>303</v>
      </c>
      <c r="D63" s="1">
        <f t="shared" si="3"/>
        <v>850.7</v>
      </c>
    </row>
    <row r="64" spans="1:4" x14ac:dyDescent="0.3">
      <c r="A64" t="str">
        <f t="shared" si="0"/>
        <v>PROD-063</v>
      </c>
      <c r="B64" t="str">
        <f t="shared" si="1"/>
        <v>Copper Terminal Lug - High Temperature 063</v>
      </c>
      <c r="C64" s="2">
        <f t="shared" si="2"/>
        <v>340</v>
      </c>
      <c r="D64" s="1">
        <f t="shared" si="3"/>
        <v>864.4</v>
      </c>
    </row>
    <row r="65" spans="1:4" x14ac:dyDescent="0.3">
      <c r="A65" t="str">
        <f t="shared" si="0"/>
        <v>PROD-064</v>
      </c>
      <c r="B65" t="str">
        <f t="shared" si="1"/>
        <v>PVC Conduit - High Temperature 064</v>
      </c>
      <c r="C65" s="2">
        <f t="shared" si="2"/>
        <v>377</v>
      </c>
      <c r="D65" s="1">
        <f t="shared" si="3"/>
        <v>878.1</v>
      </c>
    </row>
    <row r="66" spans="1:4" x14ac:dyDescent="0.3">
      <c r="A66" t="str">
        <f t="shared" ref="A66:A129" si="4">"PROD-"&amp;TEXT(ROW()-1,"000")</f>
        <v>PROD-065</v>
      </c>
      <c r="B66" t="str">
        <f t="shared" ref="B66:B129" si="5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065</v>
      </c>
      <c r="C66" s="2">
        <f t="shared" ref="C66:C129" si="6">MOD((ROW()-2)*37,491)+10</f>
        <v>414</v>
      </c>
      <c r="D66" s="1">
        <f t="shared" ref="D66:D129" si="7">ROUND(15+MOD((ROW()-2)*137,19850)/10,2)</f>
        <v>891.8</v>
      </c>
    </row>
    <row r="67" spans="1:4" x14ac:dyDescent="0.3">
      <c r="A67" t="str">
        <f t="shared" si="4"/>
        <v>PROD-066</v>
      </c>
      <c r="B67" t="str">
        <f t="shared" si="5"/>
        <v>Aluminum Extrusion - High Temperature 066</v>
      </c>
      <c r="C67" s="2">
        <f t="shared" si="6"/>
        <v>451</v>
      </c>
      <c r="D67" s="1">
        <f t="shared" si="7"/>
        <v>905.5</v>
      </c>
    </row>
    <row r="68" spans="1:4" x14ac:dyDescent="0.3">
      <c r="A68" t="str">
        <f t="shared" si="4"/>
        <v>PROD-067</v>
      </c>
      <c r="B68" t="str">
        <f t="shared" si="5"/>
        <v>Ceramic Insulator - High Temperature 067</v>
      </c>
      <c r="C68" s="2">
        <f t="shared" si="6"/>
        <v>488</v>
      </c>
      <c r="D68" s="1">
        <f t="shared" si="7"/>
        <v>919.2</v>
      </c>
    </row>
    <row r="69" spans="1:4" x14ac:dyDescent="0.3">
      <c r="A69" t="str">
        <f t="shared" si="4"/>
        <v>PROD-068</v>
      </c>
      <c r="B69" t="str">
        <f t="shared" si="5"/>
        <v>Nylon Cable Tie - High Temperature 068</v>
      </c>
      <c r="C69" s="2">
        <f t="shared" si="6"/>
        <v>34</v>
      </c>
      <c r="D69" s="1">
        <f t="shared" si="7"/>
        <v>932.9</v>
      </c>
    </row>
    <row r="70" spans="1:4" x14ac:dyDescent="0.3">
      <c r="A70" t="str">
        <f t="shared" si="4"/>
        <v>PROD-069</v>
      </c>
      <c r="B70" t="str">
        <f t="shared" si="5"/>
        <v>Brass Compression Fitting - High Temperature 069</v>
      </c>
      <c r="C70" s="2">
        <f t="shared" si="6"/>
        <v>71</v>
      </c>
      <c r="D70" s="1">
        <f t="shared" si="7"/>
        <v>946.6</v>
      </c>
    </row>
    <row r="71" spans="1:4" x14ac:dyDescent="0.3">
      <c r="A71" t="str">
        <f t="shared" si="4"/>
        <v>PROD-070</v>
      </c>
      <c r="B71" t="str">
        <f t="shared" si="5"/>
        <v>Carbon Steel Washer - High Temperature 070</v>
      </c>
      <c r="C71" s="2">
        <f t="shared" si="6"/>
        <v>108</v>
      </c>
      <c r="D71" s="1">
        <f t="shared" si="7"/>
        <v>960.3</v>
      </c>
    </row>
    <row r="72" spans="1:4" x14ac:dyDescent="0.3">
      <c r="A72" t="str">
        <f t="shared" si="4"/>
        <v>PROD-071</v>
      </c>
      <c r="B72" t="str">
        <f t="shared" si="5"/>
        <v>Silicone Sealant - High Temperature 071</v>
      </c>
      <c r="C72" s="2">
        <f t="shared" si="6"/>
        <v>145</v>
      </c>
      <c r="D72" s="1">
        <f t="shared" si="7"/>
        <v>974</v>
      </c>
    </row>
    <row r="73" spans="1:4" x14ac:dyDescent="0.3">
      <c r="A73" t="str">
        <f t="shared" si="4"/>
        <v>PROD-072</v>
      </c>
      <c r="B73" t="str">
        <f t="shared" si="5"/>
        <v>Fiberglass Sleeve - High Temperature 072</v>
      </c>
      <c r="C73" s="2">
        <f t="shared" si="6"/>
        <v>182</v>
      </c>
      <c r="D73" s="1">
        <f t="shared" si="7"/>
        <v>987.7</v>
      </c>
    </row>
    <row r="74" spans="1:4" x14ac:dyDescent="0.3">
      <c r="A74" t="str">
        <f t="shared" si="4"/>
        <v>PROD-073</v>
      </c>
      <c r="B74" t="str">
        <f t="shared" si="5"/>
        <v>Polycarbonate Panel - High Temperature 073</v>
      </c>
      <c r="C74" s="2">
        <f t="shared" si="6"/>
        <v>219</v>
      </c>
      <c r="D74" s="1">
        <f t="shared" si="7"/>
        <v>1001.4</v>
      </c>
    </row>
    <row r="75" spans="1:4" x14ac:dyDescent="0.3">
      <c r="A75" t="str">
        <f t="shared" si="4"/>
        <v>PROD-074</v>
      </c>
      <c r="B75" t="str">
        <f t="shared" si="5"/>
        <v>Galvanized U-Bolt - High Temperature 074</v>
      </c>
      <c r="C75" s="2">
        <f t="shared" si="6"/>
        <v>256</v>
      </c>
      <c r="D75" s="1">
        <f t="shared" si="7"/>
        <v>1015.1</v>
      </c>
    </row>
    <row r="76" spans="1:4" x14ac:dyDescent="0.3">
      <c r="A76" t="str">
        <f t="shared" si="4"/>
        <v>PROD-075</v>
      </c>
      <c r="B76" t="str">
        <f t="shared" si="5"/>
        <v>Neoprene Gasket - High Temperature 075</v>
      </c>
      <c r="C76" s="2">
        <f t="shared" si="6"/>
        <v>293</v>
      </c>
      <c r="D76" s="1">
        <f t="shared" si="7"/>
        <v>1028.8</v>
      </c>
    </row>
    <row r="77" spans="1:4" x14ac:dyDescent="0.3">
      <c r="A77" t="str">
        <f t="shared" si="4"/>
        <v>PROD-076</v>
      </c>
      <c r="B77" t="str">
        <f t="shared" si="5"/>
        <v>Copper Busbar - High Temperature 076</v>
      </c>
      <c r="C77" s="2">
        <f t="shared" si="6"/>
        <v>330</v>
      </c>
      <c r="D77" s="1">
        <f t="shared" si="7"/>
        <v>1042.5</v>
      </c>
    </row>
    <row r="78" spans="1:4" x14ac:dyDescent="0.3">
      <c r="A78" t="str">
        <f t="shared" si="4"/>
        <v>PROD-077</v>
      </c>
      <c r="B78" t="str">
        <f t="shared" si="5"/>
        <v>ABS Enclosure - High Temperature 077</v>
      </c>
      <c r="C78" s="2">
        <f t="shared" si="6"/>
        <v>367</v>
      </c>
      <c r="D78" s="1">
        <f t="shared" si="7"/>
        <v>1056.2</v>
      </c>
    </row>
    <row r="79" spans="1:4" x14ac:dyDescent="0.3">
      <c r="A79" t="str">
        <f t="shared" si="4"/>
        <v>PROD-078</v>
      </c>
      <c r="B79" t="str">
        <f t="shared" si="5"/>
        <v>Teflon Tape - High Temperature 078</v>
      </c>
      <c r="C79" s="2">
        <f t="shared" si="6"/>
        <v>404</v>
      </c>
      <c r="D79" s="1">
        <f t="shared" si="7"/>
        <v>1069.9000000000001</v>
      </c>
    </row>
    <row r="80" spans="1:4" x14ac:dyDescent="0.3">
      <c r="A80" t="str">
        <f t="shared" si="4"/>
        <v>PROD-079</v>
      </c>
      <c r="B80" t="str">
        <f t="shared" si="5"/>
        <v>Steel Machine Screw - High Temperature 079</v>
      </c>
      <c r="C80" s="2">
        <f t="shared" si="6"/>
        <v>441</v>
      </c>
      <c r="D80" s="1">
        <f t="shared" si="7"/>
        <v>1083.5999999999999</v>
      </c>
    </row>
    <row r="81" spans="1:4" x14ac:dyDescent="0.3">
      <c r="A81" t="str">
        <f t="shared" si="4"/>
        <v>PROD-080</v>
      </c>
      <c r="B81" t="str">
        <f t="shared" si="5"/>
        <v>Heat-Shrink Tubing - High Temperature 080</v>
      </c>
      <c r="C81" s="2">
        <f t="shared" si="6"/>
        <v>478</v>
      </c>
      <c r="D81" s="1">
        <f t="shared" si="7"/>
        <v>1097.3</v>
      </c>
    </row>
    <row r="82" spans="1:4" x14ac:dyDescent="0.3">
      <c r="A82" t="str">
        <f t="shared" si="4"/>
        <v>PROD-081</v>
      </c>
      <c r="B82" t="str">
        <f t="shared" si="5"/>
        <v>Industrial Adhesive - Corrosion Resistant 081</v>
      </c>
      <c r="C82" s="2">
        <f t="shared" si="6"/>
        <v>24</v>
      </c>
      <c r="D82" s="1">
        <f t="shared" si="7"/>
        <v>1111</v>
      </c>
    </row>
    <row r="83" spans="1:4" x14ac:dyDescent="0.3">
      <c r="A83" t="str">
        <f t="shared" si="4"/>
        <v>PROD-082</v>
      </c>
      <c r="B83" t="str">
        <f t="shared" si="5"/>
        <v>Stainless Steel Bracket - Corrosion Resistant 082</v>
      </c>
      <c r="C83" s="2">
        <f t="shared" si="6"/>
        <v>61</v>
      </c>
      <c r="D83" s="1">
        <f t="shared" si="7"/>
        <v>1124.7</v>
      </c>
    </row>
    <row r="84" spans="1:4" x14ac:dyDescent="0.3">
      <c r="A84" t="str">
        <f t="shared" si="4"/>
        <v>PROD-083</v>
      </c>
      <c r="B84" t="str">
        <f t="shared" si="5"/>
        <v>Copper Terminal Lug - Corrosion Resistant 083</v>
      </c>
      <c r="C84" s="2">
        <f t="shared" si="6"/>
        <v>98</v>
      </c>
      <c r="D84" s="1">
        <f t="shared" si="7"/>
        <v>1138.4000000000001</v>
      </c>
    </row>
    <row r="85" spans="1:4" x14ac:dyDescent="0.3">
      <c r="A85" t="str">
        <f t="shared" si="4"/>
        <v>PROD-084</v>
      </c>
      <c r="B85" t="str">
        <f t="shared" si="5"/>
        <v>PVC Conduit - Corrosion Resistant 084</v>
      </c>
      <c r="C85" s="2">
        <f t="shared" si="6"/>
        <v>135</v>
      </c>
      <c r="D85" s="1">
        <f t="shared" si="7"/>
        <v>1152.0999999999999</v>
      </c>
    </row>
    <row r="86" spans="1:4" x14ac:dyDescent="0.3">
      <c r="A86" t="str">
        <f t="shared" si="4"/>
        <v>PROD-085</v>
      </c>
      <c r="B86" t="str">
        <f t="shared" si="5"/>
        <v>Rubber O-Ring - Corrosion Resistant 085</v>
      </c>
      <c r="C86" s="2">
        <f t="shared" si="6"/>
        <v>172</v>
      </c>
      <c r="D86" s="1">
        <f t="shared" si="7"/>
        <v>1165.8</v>
      </c>
    </row>
    <row r="87" spans="1:4" x14ac:dyDescent="0.3">
      <c r="A87" t="str">
        <f t="shared" si="4"/>
        <v>PROD-086</v>
      </c>
      <c r="B87" t="str">
        <f t="shared" si="5"/>
        <v>Aluminum Extrusion - Corrosion Resistant 086</v>
      </c>
      <c r="C87" s="2">
        <f t="shared" si="6"/>
        <v>209</v>
      </c>
      <c r="D87" s="1">
        <f t="shared" si="7"/>
        <v>1179.5</v>
      </c>
    </row>
    <row r="88" spans="1:4" x14ac:dyDescent="0.3">
      <c r="A88" t="str">
        <f t="shared" si="4"/>
        <v>PROD-087</v>
      </c>
      <c r="B88" t="str">
        <f t="shared" si="5"/>
        <v>Ceramic Insulator - Corrosion Resistant 087</v>
      </c>
      <c r="C88" s="2">
        <f t="shared" si="6"/>
        <v>246</v>
      </c>
      <c r="D88" s="1">
        <f t="shared" si="7"/>
        <v>1193.2</v>
      </c>
    </row>
    <row r="89" spans="1:4" x14ac:dyDescent="0.3">
      <c r="A89" t="str">
        <f t="shared" si="4"/>
        <v>PROD-088</v>
      </c>
      <c r="B89" t="str">
        <f t="shared" si="5"/>
        <v>Nylon Cable Tie - Corrosion Resistant 088</v>
      </c>
      <c r="C89" s="2">
        <f t="shared" si="6"/>
        <v>283</v>
      </c>
      <c r="D89" s="1">
        <f t="shared" si="7"/>
        <v>1206.9000000000001</v>
      </c>
    </row>
    <row r="90" spans="1:4" x14ac:dyDescent="0.3">
      <c r="A90" t="str">
        <f t="shared" si="4"/>
        <v>PROD-089</v>
      </c>
      <c r="B90" t="str">
        <f t="shared" si="5"/>
        <v>Brass Compression Fitting - Corrosion Resistant 089</v>
      </c>
      <c r="C90" s="2">
        <f t="shared" si="6"/>
        <v>320</v>
      </c>
      <c r="D90" s="1">
        <f t="shared" si="7"/>
        <v>1220.5999999999999</v>
      </c>
    </row>
    <row r="91" spans="1:4" x14ac:dyDescent="0.3">
      <c r="A91" t="str">
        <f t="shared" si="4"/>
        <v>PROD-090</v>
      </c>
      <c r="B91" t="str">
        <f t="shared" si="5"/>
        <v>Carbon Steel Washer - Corrosion Resistant 090</v>
      </c>
      <c r="C91" s="2">
        <f t="shared" si="6"/>
        <v>357</v>
      </c>
      <c r="D91" s="1">
        <f t="shared" si="7"/>
        <v>1234.3</v>
      </c>
    </row>
    <row r="92" spans="1:4" x14ac:dyDescent="0.3">
      <c r="A92" t="str">
        <f t="shared" si="4"/>
        <v>PROD-091</v>
      </c>
      <c r="B92" t="str">
        <f t="shared" si="5"/>
        <v>Silicone Sealant - Corrosion Resistant 091</v>
      </c>
      <c r="C92" s="2">
        <f t="shared" si="6"/>
        <v>394</v>
      </c>
      <c r="D92" s="1">
        <f t="shared" si="7"/>
        <v>1248</v>
      </c>
    </row>
    <row r="93" spans="1:4" x14ac:dyDescent="0.3">
      <c r="A93" t="str">
        <f t="shared" si="4"/>
        <v>PROD-092</v>
      </c>
      <c r="B93" t="str">
        <f t="shared" si="5"/>
        <v>Fiberglass Sleeve - Corrosion Resistant 092</v>
      </c>
      <c r="C93" s="2">
        <f t="shared" si="6"/>
        <v>431</v>
      </c>
      <c r="D93" s="1">
        <f t="shared" si="7"/>
        <v>1261.7</v>
      </c>
    </row>
    <row r="94" spans="1:4" x14ac:dyDescent="0.3">
      <c r="A94" t="str">
        <f t="shared" si="4"/>
        <v>PROD-093</v>
      </c>
      <c r="B94" t="str">
        <f t="shared" si="5"/>
        <v>Polycarbonate Panel - Corrosion Resistant 093</v>
      </c>
      <c r="C94" s="2">
        <f t="shared" si="6"/>
        <v>468</v>
      </c>
      <c r="D94" s="1">
        <f t="shared" si="7"/>
        <v>1275.4000000000001</v>
      </c>
    </row>
    <row r="95" spans="1:4" x14ac:dyDescent="0.3">
      <c r="A95" t="str">
        <f t="shared" si="4"/>
        <v>PROD-094</v>
      </c>
      <c r="B95" t="str">
        <f t="shared" si="5"/>
        <v>Galvanized U-Bolt - Corrosion Resistant 094</v>
      </c>
      <c r="C95" s="2">
        <f t="shared" si="6"/>
        <v>14</v>
      </c>
      <c r="D95" s="1">
        <f t="shared" si="7"/>
        <v>1289.0999999999999</v>
      </c>
    </row>
    <row r="96" spans="1:4" x14ac:dyDescent="0.3">
      <c r="A96" t="str">
        <f t="shared" si="4"/>
        <v>PROD-095</v>
      </c>
      <c r="B96" t="str">
        <f t="shared" si="5"/>
        <v>Neoprene Gasket - Corrosion Resistant 095</v>
      </c>
      <c r="C96" s="2">
        <f t="shared" si="6"/>
        <v>51</v>
      </c>
      <c r="D96" s="1">
        <f t="shared" si="7"/>
        <v>1302.8</v>
      </c>
    </row>
    <row r="97" spans="1:4" x14ac:dyDescent="0.3">
      <c r="A97" t="str">
        <f t="shared" si="4"/>
        <v>PROD-096</v>
      </c>
      <c r="B97" t="str">
        <f t="shared" si="5"/>
        <v>Copper Busbar - Corrosion Resistant 096</v>
      </c>
      <c r="C97" s="2">
        <f t="shared" si="6"/>
        <v>88</v>
      </c>
      <c r="D97" s="1">
        <f t="shared" si="7"/>
        <v>1316.5</v>
      </c>
    </row>
    <row r="98" spans="1:4" x14ac:dyDescent="0.3">
      <c r="A98" t="str">
        <f t="shared" si="4"/>
        <v>PROD-097</v>
      </c>
      <c r="B98" t="str">
        <f t="shared" si="5"/>
        <v>ABS Enclosure - Corrosion Resistant 097</v>
      </c>
      <c r="C98" s="2">
        <f t="shared" si="6"/>
        <v>125</v>
      </c>
      <c r="D98" s="1">
        <f t="shared" si="7"/>
        <v>1330.2</v>
      </c>
    </row>
    <row r="99" spans="1:4" x14ac:dyDescent="0.3">
      <c r="A99" t="str">
        <f t="shared" si="4"/>
        <v>PROD-098</v>
      </c>
      <c r="B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098</v>
      </c>
      <c r="C99" s="2">
        <f t="shared" si="6"/>
        <v>162</v>
      </c>
      <c r="D99" s="1">
        <f t="shared" si="7"/>
        <v>1343.9</v>
      </c>
    </row>
    <row r="100" spans="1:4" x14ac:dyDescent="0.3">
      <c r="A100" t="str">
        <f t="shared" si="4"/>
        <v>PROD-099</v>
      </c>
      <c r="B100" t="str">
        <f t="shared" si="5"/>
        <v>Steel Machine Screw - Corrosion Resistant 099</v>
      </c>
      <c r="C100" s="2">
        <f t="shared" si="6"/>
        <v>199</v>
      </c>
      <c r="D100" s="1">
        <f t="shared" si="7"/>
        <v>1357.6</v>
      </c>
    </row>
    <row r="101" spans="1:4" x14ac:dyDescent="0.3">
      <c r="A101" t="str">
        <f t="shared" si="4"/>
        <v>PROD-100</v>
      </c>
      <c r="B101" t="str">
        <f t="shared" si="5"/>
        <v>Heat-Shrink Tubing - Corrosion Resistant 100</v>
      </c>
      <c r="C101" s="2">
        <f t="shared" si="6"/>
        <v>236</v>
      </c>
      <c r="D101" s="1">
        <f t="shared" si="7"/>
        <v>1371.3</v>
      </c>
    </row>
    <row r="102" spans="1:4" x14ac:dyDescent="0.3">
      <c r="A102" t="str">
        <f t="shared" si="4"/>
        <v>PROD-101</v>
      </c>
      <c r="B102" t="str">
        <f t="shared" si="5"/>
        <v>Industrial Adhesive - Precision Grade 101</v>
      </c>
      <c r="C102" s="2">
        <f t="shared" si="6"/>
        <v>273</v>
      </c>
      <c r="D102" s="1">
        <f t="shared" si="7"/>
        <v>1385</v>
      </c>
    </row>
    <row r="103" spans="1:4" x14ac:dyDescent="0.3">
      <c r="A103" t="str">
        <f t="shared" si="4"/>
        <v>PROD-102</v>
      </c>
      <c r="B103" t="str">
        <f t="shared" si="5"/>
        <v>Stainless Steel Bracket - Precision Grade 102</v>
      </c>
      <c r="C103" s="2">
        <f t="shared" si="6"/>
        <v>310</v>
      </c>
      <c r="D103" s="1">
        <f t="shared" si="7"/>
        <v>1398.7</v>
      </c>
    </row>
    <row r="104" spans="1:4" x14ac:dyDescent="0.3">
      <c r="A104" t="str">
        <f t="shared" si="4"/>
        <v>PROD-103</v>
      </c>
      <c r="B104" t="str">
        <f t="shared" si="5"/>
        <v>Copper Terminal Lug - Precision Grade 103</v>
      </c>
      <c r="C104" s="2">
        <f t="shared" si="6"/>
        <v>347</v>
      </c>
      <c r="D104" s="1">
        <f t="shared" si="7"/>
        <v>1412.4</v>
      </c>
    </row>
    <row r="105" spans="1:4" x14ac:dyDescent="0.3">
      <c r="A105" t="str">
        <f t="shared" si="4"/>
        <v>PROD-104</v>
      </c>
      <c r="B105" t="str">
        <f t="shared" si="5"/>
        <v>PVC Conduit - Precision Grade 104</v>
      </c>
      <c r="C105" s="2">
        <f t="shared" si="6"/>
        <v>384</v>
      </c>
      <c r="D105" s="1">
        <f t="shared" si="7"/>
        <v>1426.1</v>
      </c>
    </row>
    <row r="106" spans="1:4" x14ac:dyDescent="0.3">
      <c r="A106" t="str">
        <f t="shared" si="4"/>
        <v>PROD-105</v>
      </c>
      <c r="B106" t="str">
        <f t="shared" si="5"/>
        <v>Rubber O-Ring - Precision Grade 105</v>
      </c>
      <c r="C106" s="2">
        <f t="shared" si="6"/>
        <v>421</v>
      </c>
      <c r="D106" s="1">
        <f t="shared" si="7"/>
        <v>1439.8</v>
      </c>
    </row>
    <row r="107" spans="1:4" x14ac:dyDescent="0.3">
      <c r="A107" t="str">
        <f t="shared" si="4"/>
        <v>PROD-106</v>
      </c>
      <c r="B107" t="str">
        <f t="shared" si="5"/>
        <v>Aluminum Extrusion - Precision Grade 106</v>
      </c>
      <c r="C107" s="2">
        <f t="shared" si="6"/>
        <v>458</v>
      </c>
      <c r="D107" s="1">
        <f t="shared" si="7"/>
        <v>1453.5</v>
      </c>
    </row>
    <row r="108" spans="1:4" x14ac:dyDescent="0.3">
      <c r="A108" t="str">
        <f t="shared" si="4"/>
        <v>PROD-107</v>
      </c>
      <c r="B108" t="str">
        <f t="shared" si="5"/>
        <v>Ceramic Insulator - Precision Grade 107</v>
      </c>
      <c r="C108" s="2">
        <f t="shared" si="6"/>
        <v>495</v>
      </c>
      <c r="D108" s="1">
        <f t="shared" si="7"/>
        <v>1467.2</v>
      </c>
    </row>
    <row r="109" spans="1:4" x14ac:dyDescent="0.3">
      <c r="A109" t="str">
        <f t="shared" si="4"/>
        <v>PROD-108</v>
      </c>
      <c r="B109" t="str">
        <f t="shared" si="5"/>
        <v>Nylon Cable Tie - Precision Grade 108</v>
      </c>
      <c r="C109" s="2">
        <f t="shared" si="6"/>
        <v>41</v>
      </c>
      <c r="D109" s="1">
        <f t="shared" si="7"/>
        <v>1480.9</v>
      </c>
    </row>
    <row r="110" spans="1:4" x14ac:dyDescent="0.3">
      <c r="A110" t="str">
        <f t="shared" si="4"/>
        <v>PROD-109</v>
      </c>
      <c r="B110" t="str">
        <f t="shared" si="5"/>
        <v>Brass Compression Fitting - Precision Grade 109</v>
      </c>
      <c r="C110" s="2">
        <f t="shared" si="6"/>
        <v>78</v>
      </c>
      <c r="D110" s="1">
        <f t="shared" si="7"/>
        <v>1494.6</v>
      </c>
    </row>
    <row r="111" spans="1:4" x14ac:dyDescent="0.3">
      <c r="A111" t="str">
        <f t="shared" si="4"/>
        <v>PROD-110</v>
      </c>
      <c r="B111" t="str">
        <f t="shared" si="5"/>
        <v>Carbon Steel Washer - Precision Grade 110</v>
      </c>
      <c r="C111" s="2">
        <f t="shared" si="6"/>
        <v>115</v>
      </c>
      <c r="D111" s="1">
        <f t="shared" si="7"/>
        <v>1508.3</v>
      </c>
    </row>
    <row r="112" spans="1:4" x14ac:dyDescent="0.3">
      <c r="A112" t="str">
        <f t="shared" si="4"/>
        <v>PROD-111</v>
      </c>
      <c r="B112" t="str">
        <f t="shared" si="5"/>
        <v>Silicone Sealant - Precision Grade 111</v>
      </c>
      <c r="C112" s="2">
        <f t="shared" si="6"/>
        <v>152</v>
      </c>
      <c r="D112" s="1">
        <f t="shared" si="7"/>
        <v>1522</v>
      </c>
    </row>
    <row r="113" spans="1:4" x14ac:dyDescent="0.3">
      <c r="A113" t="str">
        <f t="shared" si="4"/>
        <v>PROD-112</v>
      </c>
      <c r="B113" t="str">
        <f t="shared" si="5"/>
        <v>Fiberglass Sleeve - Precision Grade 112</v>
      </c>
      <c r="C113" s="2">
        <f t="shared" si="6"/>
        <v>189</v>
      </c>
      <c r="D113" s="1">
        <f t="shared" si="7"/>
        <v>1535.7</v>
      </c>
    </row>
    <row r="114" spans="1:4" x14ac:dyDescent="0.3">
      <c r="A114" t="str">
        <f t="shared" si="4"/>
        <v>PROD-113</v>
      </c>
      <c r="B114" t="str">
        <f t="shared" si="5"/>
        <v>Polycarbonate Panel - Precision Grade 113</v>
      </c>
      <c r="C114" s="2">
        <f t="shared" si="6"/>
        <v>226</v>
      </c>
      <c r="D114" s="1">
        <f t="shared" si="7"/>
        <v>1549.4</v>
      </c>
    </row>
    <row r="115" spans="1:4" x14ac:dyDescent="0.3">
      <c r="A115" t="str">
        <f t="shared" si="4"/>
        <v>PROD-114</v>
      </c>
      <c r="B115" t="str">
        <f t="shared" si="5"/>
        <v>Galvanized U-Bolt - Precision Grade 114</v>
      </c>
      <c r="C115" s="2">
        <f t="shared" si="6"/>
        <v>263</v>
      </c>
      <c r="D115" s="1">
        <f t="shared" si="7"/>
        <v>1563.1</v>
      </c>
    </row>
    <row r="116" spans="1:4" x14ac:dyDescent="0.3">
      <c r="A116" t="str">
        <f t="shared" si="4"/>
        <v>PROD-115</v>
      </c>
      <c r="B116" t="str">
        <f t="shared" si="5"/>
        <v>Neoprene Gasket - Precision Grade 115</v>
      </c>
      <c r="C116" s="2">
        <f t="shared" si="6"/>
        <v>300</v>
      </c>
      <c r="D116" s="1">
        <f t="shared" si="7"/>
        <v>1576.8</v>
      </c>
    </row>
    <row r="117" spans="1:4" x14ac:dyDescent="0.3">
      <c r="A117" t="str">
        <f t="shared" si="4"/>
        <v>PROD-116</v>
      </c>
      <c r="B117" t="str">
        <f t="shared" si="5"/>
        <v>Copper Busbar - Precision Grade 116</v>
      </c>
      <c r="C117" s="2">
        <f t="shared" si="6"/>
        <v>337</v>
      </c>
      <c r="D117" s="1">
        <f t="shared" si="7"/>
        <v>1590.5</v>
      </c>
    </row>
    <row r="118" spans="1:4" x14ac:dyDescent="0.3">
      <c r="A118" t="str">
        <f t="shared" si="4"/>
        <v>PROD-117</v>
      </c>
      <c r="B118" t="str">
        <f t="shared" si="5"/>
        <v>ABS Enclosure - Precision Grade 117</v>
      </c>
      <c r="C118" s="2">
        <f t="shared" si="6"/>
        <v>374</v>
      </c>
      <c r="D118" s="1">
        <f t="shared" si="7"/>
        <v>1604.2</v>
      </c>
    </row>
    <row r="119" spans="1:4" x14ac:dyDescent="0.3">
      <c r="A119" t="str">
        <f t="shared" si="4"/>
        <v>PROD-118</v>
      </c>
      <c r="B119" t="str">
        <f t="shared" si="5"/>
        <v>Teflon Tape - Precision Grade 118</v>
      </c>
      <c r="C119" s="2">
        <f t="shared" si="6"/>
        <v>411</v>
      </c>
      <c r="D119" s="1">
        <f t="shared" si="7"/>
        <v>1617.9</v>
      </c>
    </row>
    <row r="120" spans="1:4" x14ac:dyDescent="0.3">
      <c r="A120" t="str">
        <f t="shared" si="4"/>
        <v>PROD-119</v>
      </c>
      <c r="B120" t="str">
        <f t="shared" si="5"/>
        <v>Steel Machine Screw - Precision Grade 119</v>
      </c>
      <c r="C120" s="2">
        <f t="shared" si="6"/>
        <v>448</v>
      </c>
      <c r="D120" s="1">
        <f t="shared" si="7"/>
        <v>1631.6</v>
      </c>
    </row>
    <row r="121" spans="1:4" x14ac:dyDescent="0.3">
      <c r="A121" t="str">
        <f t="shared" si="4"/>
        <v>PROD-120</v>
      </c>
      <c r="B121" t="str">
        <f t="shared" si="5"/>
        <v>Heat-Shrink Tubing - Precision Grade 120</v>
      </c>
      <c r="C121" s="2">
        <f t="shared" si="6"/>
        <v>485</v>
      </c>
      <c r="D121" s="1">
        <f t="shared" si="7"/>
        <v>1645.3</v>
      </c>
    </row>
    <row r="122" spans="1:4" x14ac:dyDescent="0.3">
      <c r="A122" t="str">
        <f t="shared" si="4"/>
        <v>PROD-121</v>
      </c>
      <c r="B122" t="str">
        <f t="shared" si="5"/>
        <v>Industrial Adhesive - Outdoor Rated 121</v>
      </c>
      <c r="C122" s="2">
        <f t="shared" si="6"/>
        <v>31</v>
      </c>
      <c r="D122" s="1">
        <f t="shared" si="7"/>
        <v>1659</v>
      </c>
    </row>
    <row r="123" spans="1:4" x14ac:dyDescent="0.3">
      <c r="A123" t="str">
        <f t="shared" si="4"/>
        <v>PROD-122</v>
      </c>
      <c r="B123" t="str">
        <f t="shared" si="5"/>
        <v>Stainless Steel Bracket - Outdoor Rated 122</v>
      </c>
      <c r="C123" s="2">
        <f t="shared" si="6"/>
        <v>68</v>
      </c>
      <c r="D123" s="1">
        <f t="shared" si="7"/>
        <v>1672.7</v>
      </c>
    </row>
    <row r="124" spans="1:4" x14ac:dyDescent="0.3">
      <c r="A124" t="str">
        <f t="shared" si="4"/>
        <v>PROD-123</v>
      </c>
      <c r="B124" t="str">
        <f t="shared" si="5"/>
        <v>Copper Terminal Lug - Outdoor Rated 123</v>
      </c>
      <c r="C124" s="2">
        <f t="shared" si="6"/>
        <v>105</v>
      </c>
      <c r="D124" s="1">
        <f t="shared" si="7"/>
        <v>1686.4</v>
      </c>
    </row>
    <row r="125" spans="1:4" x14ac:dyDescent="0.3">
      <c r="A125" t="str">
        <f t="shared" si="4"/>
        <v>PROD-124</v>
      </c>
      <c r="B125" t="str">
        <f t="shared" si="5"/>
        <v>PVC Conduit - Outdoor Rated 124</v>
      </c>
      <c r="C125" s="2">
        <f t="shared" si="6"/>
        <v>142</v>
      </c>
      <c r="D125" s="1">
        <f t="shared" si="7"/>
        <v>1700.1</v>
      </c>
    </row>
    <row r="126" spans="1:4" x14ac:dyDescent="0.3">
      <c r="A126" t="str">
        <f t="shared" si="4"/>
        <v>PROD-125</v>
      </c>
      <c r="B126" t="str">
        <f t="shared" si="5"/>
        <v>Rubber O-Ring - Outdoor Rated 125</v>
      </c>
      <c r="C126" s="2">
        <f t="shared" si="6"/>
        <v>179</v>
      </c>
      <c r="D126" s="1">
        <f t="shared" si="7"/>
        <v>1713.8</v>
      </c>
    </row>
    <row r="127" spans="1:4" x14ac:dyDescent="0.3">
      <c r="A127" t="str">
        <f t="shared" si="4"/>
        <v>PROD-126</v>
      </c>
      <c r="B127" t="str">
        <f t="shared" si="5"/>
        <v>Aluminum Extrusion - Outdoor Rated 126</v>
      </c>
      <c r="C127" s="2">
        <f t="shared" si="6"/>
        <v>216</v>
      </c>
      <c r="D127" s="1">
        <f t="shared" si="7"/>
        <v>1727.5</v>
      </c>
    </row>
    <row r="128" spans="1:4" x14ac:dyDescent="0.3">
      <c r="A128" t="str">
        <f t="shared" si="4"/>
        <v>PROD-127</v>
      </c>
      <c r="B128" t="str">
        <f t="shared" si="5"/>
        <v>Ceramic Insulator - Outdoor Rated 127</v>
      </c>
      <c r="C128" s="2">
        <f t="shared" si="6"/>
        <v>253</v>
      </c>
      <c r="D128" s="1">
        <f t="shared" si="7"/>
        <v>1741.2</v>
      </c>
    </row>
    <row r="129" spans="1:4" x14ac:dyDescent="0.3">
      <c r="A129" t="str">
        <f t="shared" si="4"/>
        <v>PROD-128</v>
      </c>
      <c r="B129" t="str">
        <f t="shared" si="5"/>
        <v>Nylon Cable Tie - Outdoor Rated 128</v>
      </c>
      <c r="C129" s="2">
        <f t="shared" si="6"/>
        <v>290</v>
      </c>
      <c r="D129" s="1">
        <f t="shared" si="7"/>
        <v>1754.9</v>
      </c>
    </row>
    <row r="130" spans="1:4" x14ac:dyDescent="0.3">
      <c r="A130" t="str">
        <f t="shared" ref="A130:A193" si="8">"PROD-"&amp;TEXT(ROW()-1,"000")</f>
        <v>PROD-129</v>
      </c>
      <c r="B130" t="str">
        <f t="shared" ref="B130:B193" si="9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129</v>
      </c>
      <c r="C130" s="2">
        <f t="shared" ref="C130:C193" si="10">MOD((ROW()-2)*37,491)+10</f>
        <v>327</v>
      </c>
      <c r="D130" s="1">
        <f t="shared" ref="D130:D193" si="11">ROUND(15+MOD((ROW()-2)*137,19850)/10,2)</f>
        <v>1768.6</v>
      </c>
    </row>
    <row r="131" spans="1:4" x14ac:dyDescent="0.3">
      <c r="A131" t="str">
        <f t="shared" si="8"/>
        <v>PROD-130</v>
      </c>
      <c r="B131" t="str">
        <f t="shared" si="9"/>
        <v>Carbon Steel Washer - Outdoor Rated 130</v>
      </c>
      <c r="C131" s="2">
        <f t="shared" si="10"/>
        <v>364</v>
      </c>
      <c r="D131" s="1">
        <f t="shared" si="11"/>
        <v>1782.3</v>
      </c>
    </row>
    <row r="132" spans="1:4" x14ac:dyDescent="0.3">
      <c r="A132" t="str">
        <f t="shared" si="8"/>
        <v>PROD-131</v>
      </c>
      <c r="B132" t="str">
        <f t="shared" si="9"/>
        <v>Silicone Sealant - Outdoor Rated 131</v>
      </c>
      <c r="C132" s="2">
        <f t="shared" si="10"/>
        <v>401</v>
      </c>
      <c r="D132" s="1">
        <f t="shared" si="11"/>
        <v>1796</v>
      </c>
    </row>
    <row r="133" spans="1:4" x14ac:dyDescent="0.3">
      <c r="A133" t="str">
        <f t="shared" si="8"/>
        <v>PROD-132</v>
      </c>
      <c r="B133" t="str">
        <f t="shared" si="9"/>
        <v>Fiberglass Sleeve - Outdoor Rated 132</v>
      </c>
      <c r="C133" s="2">
        <f t="shared" si="10"/>
        <v>438</v>
      </c>
      <c r="D133" s="1">
        <f t="shared" si="11"/>
        <v>1809.7</v>
      </c>
    </row>
    <row r="134" spans="1:4" x14ac:dyDescent="0.3">
      <c r="A134" t="str">
        <f t="shared" si="8"/>
        <v>PROD-133</v>
      </c>
      <c r="B134" t="str">
        <f t="shared" si="9"/>
        <v>Polycarbonate Panel - Outdoor Rated 133</v>
      </c>
      <c r="C134" s="2">
        <f t="shared" si="10"/>
        <v>475</v>
      </c>
      <c r="D134" s="1">
        <f t="shared" si="11"/>
        <v>1823.4</v>
      </c>
    </row>
    <row r="135" spans="1:4" x14ac:dyDescent="0.3">
      <c r="A135" t="str">
        <f t="shared" si="8"/>
        <v>PROD-134</v>
      </c>
      <c r="B135" t="str">
        <f t="shared" si="9"/>
        <v>Galvanized U-Bolt - Outdoor Rated 134</v>
      </c>
      <c r="C135" s="2">
        <f t="shared" si="10"/>
        <v>21</v>
      </c>
      <c r="D135" s="1">
        <f t="shared" si="11"/>
        <v>1837.1</v>
      </c>
    </row>
    <row r="136" spans="1:4" x14ac:dyDescent="0.3">
      <c r="A136" t="str">
        <f t="shared" si="8"/>
        <v>PROD-135</v>
      </c>
      <c r="B136" t="str">
        <f t="shared" si="9"/>
        <v>Neoprene Gasket - Outdoor Rated 135</v>
      </c>
      <c r="C136" s="2">
        <f t="shared" si="10"/>
        <v>58</v>
      </c>
      <c r="D136" s="1">
        <f t="shared" si="11"/>
        <v>1850.8</v>
      </c>
    </row>
    <row r="137" spans="1:4" x14ac:dyDescent="0.3">
      <c r="A137" t="str">
        <f t="shared" si="8"/>
        <v>PROD-136</v>
      </c>
      <c r="B137" t="str">
        <f t="shared" si="9"/>
        <v>Copper Busbar - Outdoor Rated 136</v>
      </c>
      <c r="C137" s="2">
        <f t="shared" si="10"/>
        <v>95</v>
      </c>
      <c r="D137" s="1">
        <f t="shared" si="11"/>
        <v>1864.5</v>
      </c>
    </row>
    <row r="138" spans="1:4" x14ac:dyDescent="0.3">
      <c r="A138" t="str">
        <f t="shared" si="8"/>
        <v>PROD-137</v>
      </c>
      <c r="B138" t="str">
        <f t="shared" si="9"/>
        <v>ABS Enclosure - Outdoor Rated 137</v>
      </c>
      <c r="C138" s="2">
        <f t="shared" si="10"/>
        <v>132</v>
      </c>
      <c r="D138" s="1">
        <f t="shared" si="11"/>
        <v>1878.2</v>
      </c>
    </row>
    <row r="139" spans="1:4" x14ac:dyDescent="0.3">
      <c r="A139" t="str">
        <f t="shared" si="8"/>
        <v>PROD-138</v>
      </c>
      <c r="B139" t="str">
        <f t="shared" si="9"/>
        <v>Teflon Tape - Outdoor Rated 138</v>
      </c>
      <c r="C139" s="2">
        <f t="shared" si="10"/>
        <v>169</v>
      </c>
      <c r="D139" s="1">
        <f t="shared" si="11"/>
        <v>1891.9</v>
      </c>
    </row>
    <row r="140" spans="1:4" x14ac:dyDescent="0.3">
      <c r="A140" t="str">
        <f t="shared" si="8"/>
        <v>PROD-139</v>
      </c>
      <c r="B140" t="str">
        <f t="shared" si="9"/>
        <v>Steel Machine Screw - Outdoor Rated 139</v>
      </c>
      <c r="C140" s="2">
        <f t="shared" si="10"/>
        <v>206</v>
      </c>
      <c r="D140" s="1">
        <f t="shared" si="11"/>
        <v>1905.6</v>
      </c>
    </row>
    <row r="141" spans="1:4" x14ac:dyDescent="0.3">
      <c r="A141" t="str">
        <f t="shared" si="8"/>
        <v>PROD-140</v>
      </c>
      <c r="B141" t="str">
        <f t="shared" si="9"/>
        <v>Heat-Shrink Tubing - Outdoor Rated 140</v>
      </c>
      <c r="C141" s="2">
        <f t="shared" si="10"/>
        <v>243</v>
      </c>
      <c r="D141" s="1">
        <f t="shared" si="11"/>
        <v>1919.3</v>
      </c>
    </row>
    <row r="142" spans="1:4" x14ac:dyDescent="0.3">
      <c r="A142" t="str">
        <f t="shared" si="8"/>
        <v>PROD-141</v>
      </c>
      <c r="B142" t="str">
        <f t="shared" si="9"/>
        <v>Industrial Adhesive - Food Grade 141</v>
      </c>
      <c r="C142" s="2">
        <f t="shared" si="10"/>
        <v>280</v>
      </c>
      <c r="D142" s="1">
        <f t="shared" si="11"/>
        <v>1933</v>
      </c>
    </row>
    <row r="143" spans="1:4" x14ac:dyDescent="0.3">
      <c r="A143" t="str">
        <f t="shared" si="8"/>
        <v>PROD-142</v>
      </c>
      <c r="B143" t="str">
        <f t="shared" si="9"/>
        <v>Stainless Steel Bracket - Food Grade 142</v>
      </c>
      <c r="C143" s="2">
        <f t="shared" si="10"/>
        <v>317</v>
      </c>
      <c r="D143" s="1">
        <f t="shared" si="11"/>
        <v>1946.7</v>
      </c>
    </row>
    <row r="144" spans="1:4" x14ac:dyDescent="0.3">
      <c r="A144" t="str">
        <f t="shared" si="8"/>
        <v>PROD-143</v>
      </c>
      <c r="B144" t="str">
        <f t="shared" si="9"/>
        <v>Copper Terminal Lug - Food Grade 143</v>
      </c>
      <c r="C144" s="2">
        <f t="shared" si="10"/>
        <v>354</v>
      </c>
      <c r="D144" s="1">
        <f t="shared" si="11"/>
        <v>1960.4</v>
      </c>
    </row>
    <row r="145" spans="1:4" x14ac:dyDescent="0.3">
      <c r="A145" t="str">
        <f t="shared" si="8"/>
        <v>PROD-144</v>
      </c>
      <c r="B145" t="str">
        <f t="shared" si="9"/>
        <v>PVC Conduit - Food Grade 144</v>
      </c>
      <c r="C145" s="2">
        <f t="shared" si="10"/>
        <v>391</v>
      </c>
      <c r="D145" s="1">
        <f t="shared" si="11"/>
        <v>1974.1</v>
      </c>
    </row>
    <row r="146" spans="1:4" x14ac:dyDescent="0.3">
      <c r="A146" t="str">
        <f t="shared" si="8"/>
        <v>PROD-145</v>
      </c>
      <c r="B146" t="str">
        <f t="shared" si="9"/>
        <v>Rubber O-Ring - Food Grade 145</v>
      </c>
      <c r="C146" s="2">
        <f t="shared" si="10"/>
        <v>428</v>
      </c>
      <c r="D146" s="1">
        <f t="shared" si="11"/>
        <v>1987.8</v>
      </c>
    </row>
    <row r="147" spans="1:4" x14ac:dyDescent="0.3">
      <c r="A147" t="str">
        <f t="shared" si="8"/>
        <v>PROD-146</v>
      </c>
      <c r="B147" t="str">
        <f t="shared" si="9"/>
        <v>Aluminum Extrusion - Food Grade 146</v>
      </c>
      <c r="C147" s="2">
        <f t="shared" si="10"/>
        <v>465</v>
      </c>
      <c r="D147" s="1">
        <f t="shared" si="11"/>
        <v>16.5</v>
      </c>
    </row>
    <row r="148" spans="1:4" x14ac:dyDescent="0.3">
      <c r="A148" t="str">
        <f t="shared" si="8"/>
        <v>PROD-147</v>
      </c>
      <c r="B148" t="str">
        <f t="shared" si="9"/>
        <v>Ceramic Insulator - Food Grade 147</v>
      </c>
      <c r="C148" s="2">
        <f t="shared" si="10"/>
        <v>11</v>
      </c>
      <c r="D148" s="1">
        <f t="shared" si="11"/>
        <v>30.2</v>
      </c>
    </row>
    <row r="149" spans="1:4" x14ac:dyDescent="0.3">
      <c r="A149" t="str">
        <f t="shared" si="8"/>
        <v>PROD-148</v>
      </c>
      <c r="B149" t="str">
        <f t="shared" si="9"/>
        <v>Nylon Cable Tie - Food Grade 148</v>
      </c>
      <c r="C149" s="2">
        <f t="shared" si="10"/>
        <v>48</v>
      </c>
      <c r="D149" s="1">
        <f t="shared" si="11"/>
        <v>43.9</v>
      </c>
    </row>
    <row r="150" spans="1:4" x14ac:dyDescent="0.3">
      <c r="A150" t="str">
        <f t="shared" si="8"/>
        <v>PROD-149</v>
      </c>
      <c r="B150" t="str">
        <f t="shared" si="9"/>
        <v>Brass Compression Fitting - Food Grade 149</v>
      </c>
      <c r="C150" s="2">
        <f t="shared" si="10"/>
        <v>85</v>
      </c>
      <c r="D150" s="1">
        <f t="shared" si="11"/>
        <v>57.6</v>
      </c>
    </row>
    <row r="151" spans="1:4" x14ac:dyDescent="0.3">
      <c r="A151" t="str">
        <f t="shared" si="8"/>
        <v>PROD-150</v>
      </c>
      <c r="B151" t="str">
        <f t="shared" si="9"/>
        <v>Carbon Steel Washer - Food Grade 150</v>
      </c>
      <c r="C151" s="2">
        <f t="shared" si="10"/>
        <v>122</v>
      </c>
      <c r="D151" s="1">
        <f t="shared" si="11"/>
        <v>71.3</v>
      </c>
    </row>
    <row r="152" spans="1:4" x14ac:dyDescent="0.3">
      <c r="A152" t="str">
        <f t="shared" si="8"/>
        <v>PROD-151</v>
      </c>
      <c r="B152" t="str">
        <f t="shared" si="9"/>
        <v>Silicone Sealant - Food Grade 151</v>
      </c>
      <c r="C152" s="2">
        <f t="shared" si="10"/>
        <v>159</v>
      </c>
      <c r="D152" s="1">
        <f t="shared" si="11"/>
        <v>85</v>
      </c>
    </row>
    <row r="153" spans="1:4" x14ac:dyDescent="0.3">
      <c r="A153" t="str">
        <f t="shared" si="8"/>
        <v>PROD-152</v>
      </c>
      <c r="B153" t="str">
        <f t="shared" si="9"/>
        <v>Fiberglass Sleeve - Food Grade 152</v>
      </c>
      <c r="C153" s="2">
        <f t="shared" si="10"/>
        <v>196</v>
      </c>
      <c r="D153" s="1">
        <f t="shared" si="11"/>
        <v>98.7</v>
      </c>
    </row>
    <row r="154" spans="1:4" x14ac:dyDescent="0.3">
      <c r="A154" t="str">
        <f t="shared" si="8"/>
        <v>PROD-153</v>
      </c>
      <c r="B154" t="str">
        <f t="shared" si="9"/>
        <v>Polycarbonate Panel - Food Grade 153</v>
      </c>
      <c r="C154" s="2">
        <f t="shared" si="10"/>
        <v>233</v>
      </c>
      <c r="D154" s="1">
        <f t="shared" si="11"/>
        <v>112.4</v>
      </c>
    </row>
    <row r="155" spans="1:4" x14ac:dyDescent="0.3">
      <c r="A155" t="str">
        <f t="shared" si="8"/>
        <v>PROD-154</v>
      </c>
      <c r="B155" t="str">
        <f t="shared" si="9"/>
        <v>Galvanized U-Bolt - Food Grade 154</v>
      </c>
      <c r="C155" s="2">
        <f t="shared" si="10"/>
        <v>270</v>
      </c>
      <c r="D155" s="1">
        <f t="shared" si="11"/>
        <v>126.1</v>
      </c>
    </row>
    <row r="156" spans="1:4" x14ac:dyDescent="0.3">
      <c r="A156" t="str">
        <f t="shared" si="8"/>
        <v>PROD-155</v>
      </c>
      <c r="B156" t="str">
        <f t="shared" si="9"/>
        <v>Neoprene Gasket - Food Grade 155</v>
      </c>
      <c r="C156" s="2">
        <f t="shared" si="10"/>
        <v>307</v>
      </c>
      <c r="D156" s="1">
        <f t="shared" si="11"/>
        <v>139.80000000000001</v>
      </c>
    </row>
    <row r="157" spans="1:4" x14ac:dyDescent="0.3">
      <c r="A157" t="str">
        <f t="shared" si="8"/>
        <v>PROD-156</v>
      </c>
      <c r="B157" t="str">
        <f t="shared" si="9"/>
        <v>Copper Busbar - Food Grade 156</v>
      </c>
      <c r="C157" s="2">
        <f t="shared" si="10"/>
        <v>344</v>
      </c>
      <c r="D157" s="1">
        <f t="shared" si="11"/>
        <v>153.5</v>
      </c>
    </row>
    <row r="158" spans="1:4" x14ac:dyDescent="0.3">
      <c r="A158" t="str">
        <f t="shared" si="8"/>
        <v>PROD-157</v>
      </c>
      <c r="B158" t="str">
        <f t="shared" si="9"/>
        <v>ABS Enclosure - Food Grade 157</v>
      </c>
      <c r="C158" s="2">
        <f t="shared" si="10"/>
        <v>381</v>
      </c>
      <c r="D158" s="1">
        <f t="shared" si="11"/>
        <v>167.2</v>
      </c>
    </row>
    <row r="159" spans="1:4" x14ac:dyDescent="0.3">
      <c r="A159" t="str">
        <f t="shared" si="8"/>
        <v>PROD-158</v>
      </c>
      <c r="B159" t="str">
        <f t="shared" si="9"/>
        <v>Teflon Tape - Food Grade 158</v>
      </c>
      <c r="C159" s="2">
        <f t="shared" si="10"/>
        <v>418</v>
      </c>
      <c r="D159" s="1">
        <f t="shared" si="11"/>
        <v>180.9</v>
      </c>
    </row>
    <row r="160" spans="1:4" x14ac:dyDescent="0.3">
      <c r="A160" t="str">
        <f t="shared" si="8"/>
        <v>PROD-159</v>
      </c>
      <c r="B160" t="str">
        <f t="shared" si="9"/>
        <v>Steel Machine Screw - Food Grade 159</v>
      </c>
      <c r="C160" s="2">
        <f t="shared" si="10"/>
        <v>455</v>
      </c>
      <c r="D160" s="1">
        <f t="shared" si="11"/>
        <v>194.6</v>
      </c>
    </row>
    <row r="161" spans="1:4" x14ac:dyDescent="0.3">
      <c r="A161" t="str">
        <f t="shared" si="8"/>
        <v>PROD-160</v>
      </c>
      <c r="B161" t="str">
        <f t="shared" si="9"/>
        <v>Heat-Shrink Tubing - Food Grade 160</v>
      </c>
      <c r="C161" s="2">
        <f t="shared" si="10"/>
        <v>492</v>
      </c>
      <c r="D161" s="1">
        <f t="shared" si="11"/>
        <v>208.3</v>
      </c>
    </row>
    <row r="162" spans="1:4" x14ac:dyDescent="0.3">
      <c r="A162" t="str">
        <f t="shared" si="8"/>
        <v>PROD-161</v>
      </c>
      <c r="B162" t="str">
        <f t="shared" si="9"/>
        <v>Industrial Adhesive - Low Voltage 161</v>
      </c>
      <c r="C162" s="2">
        <f t="shared" si="10"/>
        <v>38</v>
      </c>
      <c r="D162" s="1">
        <f t="shared" si="11"/>
        <v>222</v>
      </c>
    </row>
    <row r="163" spans="1:4" x14ac:dyDescent="0.3">
      <c r="A163" t="str">
        <f t="shared" si="8"/>
        <v>PROD-162</v>
      </c>
      <c r="B163" t="str">
        <f t="shared" si="9"/>
        <v>Stainless Steel Bracket - Low Voltage 162</v>
      </c>
      <c r="C163" s="2">
        <f t="shared" si="10"/>
        <v>75</v>
      </c>
      <c r="D163" s="1">
        <f t="shared" si="11"/>
        <v>235.7</v>
      </c>
    </row>
    <row r="164" spans="1:4" x14ac:dyDescent="0.3">
      <c r="A164" t="str">
        <f t="shared" si="8"/>
        <v>PROD-163</v>
      </c>
      <c r="B164" t="str">
        <f t="shared" si="9"/>
        <v>Copper Terminal Lug - Low Voltage 163</v>
      </c>
      <c r="C164" s="2">
        <f t="shared" si="10"/>
        <v>112</v>
      </c>
      <c r="D164" s="1">
        <f t="shared" si="11"/>
        <v>249.4</v>
      </c>
    </row>
    <row r="165" spans="1:4" x14ac:dyDescent="0.3">
      <c r="A165" t="str">
        <f t="shared" si="8"/>
        <v>PROD-164</v>
      </c>
      <c r="B165" t="str">
        <f t="shared" si="9"/>
        <v>PVC Conduit - Low Voltage 164</v>
      </c>
      <c r="C165" s="2">
        <f t="shared" si="10"/>
        <v>149</v>
      </c>
      <c r="D165" s="1">
        <f t="shared" si="11"/>
        <v>263.10000000000002</v>
      </c>
    </row>
    <row r="166" spans="1:4" x14ac:dyDescent="0.3">
      <c r="A166" t="str">
        <f t="shared" si="8"/>
        <v>PROD-165</v>
      </c>
      <c r="B166" t="str">
        <f t="shared" si="9"/>
        <v>Rubber O-Ring - Low Voltage 165</v>
      </c>
      <c r="C166" s="2">
        <f t="shared" si="10"/>
        <v>186</v>
      </c>
      <c r="D166" s="1">
        <f t="shared" si="11"/>
        <v>276.8</v>
      </c>
    </row>
    <row r="167" spans="1:4" x14ac:dyDescent="0.3">
      <c r="A167" t="str">
        <f t="shared" si="8"/>
        <v>PROD-166</v>
      </c>
      <c r="B167" t="str">
        <f t="shared" si="9"/>
        <v>Aluminum Extrusion - Low Voltage 166</v>
      </c>
      <c r="C167" s="2">
        <f t="shared" si="10"/>
        <v>223</v>
      </c>
      <c r="D167" s="1">
        <f t="shared" si="11"/>
        <v>290.5</v>
      </c>
    </row>
    <row r="168" spans="1:4" x14ac:dyDescent="0.3">
      <c r="A168" t="str">
        <f t="shared" si="8"/>
        <v>PROD-167</v>
      </c>
      <c r="B168" t="str">
        <f t="shared" si="9"/>
        <v>Ceramic Insulator - Low Voltage 167</v>
      </c>
      <c r="C168" s="2">
        <f t="shared" si="10"/>
        <v>260</v>
      </c>
      <c r="D168" s="1">
        <f t="shared" si="11"/>
        <v>304.2</v>
      </c>
    </row>
    <row r="169" spans="1:4" x14ac:dyDescent="0.3">
      <c r="A169" t="str">
        <f t="shared" si="8"/>
        <v>PROD-168</v>
      </c>
      <c r="B169" t="str">
        <f t="shared" si="9"/>
        <v>Nylon Cable Tie - Low Voltage 168</v>
      </c>
      <c r="C169" s="2">
        <f t="shared" si="10"/>
        <v>297</v>
      </c>
      <c r="D169" s="1">
        <f t="shared" si="11"/>
        <v>317.89999999999998</v>
      </c>
    </row>
    <row r="170" spans="1:4" x14ac:dyDescent="0.3">
      <c r="A170" t="str">
        <f t="shared" si="8"/>
        <v>PROD-169</v>
      </c>
      <c r="B170" t="str">
        <f t="shared" si="9"/>
        <v>Brass Compression Fitting - Low Voltage 169</v>
      </c>
      <c r="C170" s="2">
        <f t="shared" si="10"/>
        <v>334</v>
      </c>
      <c r="D170" s="1">
        <f t="shared" si="11"/>
        <v>331.6</v>
      </c>
    </row>
    <row r="171" spans="1:4" x14ac:dyDescent="0.3">
      <c r="A171" t="str">
        <f t="shared" si="8"/>
        <v>PROD-170</v>
      </c>
      <c r="B171" t="str">
        <f t="shared" si="9"/>
        <v>Carbon Steel Washer - Low Voltage 170</v>
      </c>
      <c r="C171" s="2">
        <f t="shared" si="10"/>
        <v>371</v>
      </c>
      <c r="D171" s="1">
        <f t="shared" si="11"/>
        <v>345.3</v>
      </c>
    </row>
    <row r="172" spans="1:4" x14ac:dyDescent="0.3">
      <c r="A172" t="str">
        <f t="shared" si="8"/>
        <v>PROD-171</v>
      </c>
      <c r="B172" t="str">
        <f t="shared" si="9"/>
        <v>Silicone Sealant - Low Voltage 171</v>
      </c>
      <c r="C172" s="2">
        <f t="shared" si="10"/>
        <v>408</v>
      </c>
      <c r="D172" s="1">
        <f t="shared" si="11"/>
        <v>359</v>
      </c>
    </row>
    <row r="173" spans="1:4" x14ac:dyDescent="0.3">
      <c r="A173" t="str">
        <f t="shared" si="8"/>
        <v>PROD-172</v>
      </c>
      <c r="B173" t="str">
        <f t="shared" si="9"/>
        <v>Fiberglass Sleeve - Low Voltage 172</v>
      </c>
      <c r="C173" s="2">
        <f t="shared" si="10"/>
        <v>445</v>
      </c>
      <c r="D173" s="1">
        <f t="shared" si="11"/>
        <v>372.7</v>
      </c>
    </row>
    <row r="174" spans="1:4" x14ac:dyDescent="0.3">
      <c r="A174" t="str">
        <f t="shared" si="8"/>
        <v>PROD-173</v>
      </c>
      <c r="B174" t="str">
        <f t="shared" si="9"/>
        <v>Polycarbonate Panel - Low Voltage 173</v>
      </c>
      <c r="C174" s="2">
        <f t="shared" si="10"/>
        <v>482</v>
      </c>
      <c r="D174" s="1">
        <f t="shared" si="11"/>
        <v>386.4</v>
      </c>
    </row>
    <row r="175" spans="1:4" x14ac:dyDescent="0.3">
      <c r="A175" t="str">
        <f t="shared" si="8"/>
        <v>PROD-174</v>
      </c>
      <c r="B175" t="str">
        <f t="shared" si="9"/>
        <v>Galvanized U-Bolt - Low Voltage 174</v>
      </c>
      <c r="C175" s="2">
        <f t="shared" si="10"/>
        <v>28</v>
      </c>
      <c r="D175" s="1">
        <f t="shared" si="11"/>
        <v>400.1</v>
      </c>
    </row>
    <row r="176" spans="1:4" x14ac:dyDescent="0.3">
      <c r="A176" t="str">
        <f t="shared" si="8"/>
        <v>PROD-175</v>
      </c>
      <c r="B176" t="str">
        <f t="shared" si="9"/>
        <v>Neoprene Gasket - Low Voltage 175</v>
      </c>
      <c r="C176" s="2">
        <f t="shared" si="10"/>
        <v>65</v>
      </c>
      <c r="D176" s="1">
        <f t="shared" si="11"/>
        <v>413.8</v>
      </c>
    </row>
    <row r="177" spans="1:4" x14ac:dyDescent="0.3">
      <c r="A177" t="str">
        <f t="shared" si="8"/>
        <v>PROD-176</v>
      </c>
      <c r="B177" t="str">
        <f t="shared" si="9"/>
        <v>Copper Busbar - Low Voltage 176</v>
      </c>
      <c r="C177" s="2">
        <f t="shared" si="10"/>
        <v>102</v>
      </c>
      <c r="D177" s="1">
        <f t="shared" si="11"/>
        <v>427.5</v>
      </c>
    </row>
    <row r="178" spans="1:4" x14ac:dyDescent="0.3">
      <c r="A178" t="str">
        <f t="shared" si="8"/>
        <v>PROD-177</v>
      </c>
      <c r="B178" t="str">
        <f t="shared" si="9"/>
        <v>ABS Enclosure - Low Voltage 177</v>
      </c>
      <c r="C178" s="2">
        <f t="shared" si="10"/>
        <v>139</v>
      </c>
      <c r="D178" s="1">
        <f t="shared" si="11"/>
        <v>441.2</v>
      </c>
    </row>
    <row r="179" spans="1:4" x14ac:dyDescent="0.3">
      <c r="A179" t="str">
        <f t="shared" si="8"/>
        <v>PROD-178</v>
      </c>
      <c r="B179" t="str">
        <f t="shared" si="9"/>
        <v>Teflon Tape - Low Voltage 178</v>
      </c>
      <c r="C179" s="2">
        <f t="shared" si="10"/>
        <v>176</v>
      </c>
      <c r="D179" s="1">
        <f t="shared" si="11"/>
        <v>454.9</v>
      </c>
    </row>
    <row r="180" spans="1:4" x14ac:dyDescent="0.3">
      <c r="A180" t="str">
        <f t="shared" si="8"/>
        <v>PROD-179</v>
      </c>
      <c r="B180" t="str">
        <f t="shared" si="9"/>
        <v>Steel Machine Screw - Low Voltage 179</v>
      </c>
      <c r="C180" s="2">
        <f t="shared" si="10"/>
        <v>213</v>
      </c>
      <c r="D180" s="1">
        <f t="shared" si="11"/>
        <v>468.6</v>
      </c>
    </row>
    <row r="181" spans="1:4" x14ac:dyDescent="0.3">
      <c r="A181" t="str">
        <f t="shared" si="8"/>
        <v>PROD-180</v>
      </c>
      <c r="B181" t="str">
        <f t="shared" si="9"/>
        <v>Heat-Shrink Tubing - Low Voltage 180</v>
      </c>
      <c r="C181" s="2">
        <f t="shared" si="10"/>
        <v>250</v>
      </c>
      <c r="D181" s="1">
        <f t="shared" si="11"/>
        <v>482.3</v>
      </c>
    </row>
    <row r="182" spans="1:4" x14ac:dyDescent="0.3">
      <c r="A182" t="str">
        <f t="shared" si="8"/>
        <v>PROD-181</v>
      </c>
      <c r="B182" t="str">
        <f t="shared" si="9"/>
        <v>Industrial Adhesive - Industrial Grade 181</v>
      </c>
      <c r="C182" s="2">
        <f t="shared" si="10"/>
        <v>287</v>
      </c>
      <c r="D182" s="1">
        <f t="shared" si="11"/>
        <v>496</v>
      </c>
    </row>
    <row r="183" spans="1:4" x14ac:dyDescent="0.3">
      <c r="A183" t="str">
        <f t="shared" si="8"/>
        <v>PROD-182</v>
      </c>
      <c r="B183" t="str">
        <f t="shared" si="9"/>
        <v>Stainless Steel Bracket - Industrial Grade 182</v>
      </c>
      <c r="C183" s="2">
        <f t="shared" si="10"/>
        <v>324</v>
      </c>
      <c r="D183" s="1">
        <f t="shared" si="11"/>
        <v>509.7</v>
      </c>
    </row>
    <row r="184" spans="1:4" x14ac:dyDescent="0.3">
      <c r="A184" t="str">
        <f t="shared" si="8"/>
        <v>PROD-183</v>
      </c>
      <c r="B184" t="str">
        <f t="shared" si="9"/>
        <v>Copper Terminal Lug - Industrial Grade 183</v>
      </c>
      <c r="C184" s="2">
        <f t="shared" si="10"/>
        <v>361</v>
      </c>
      <c r="D184" s="1">
        <f t="shared" si="11"/>
        <v>523.4</v>
      </c>
    </row>
    <row r="185" spans="1:4" x14ac:dyDescent="0.3">
      <c r="A185" t="str">
        <f t="shared" si="8"/>
        <v>PROD-184</v>
      </c>
      <c r="B185" t="str">
        <f t="shared" si="9"/>
        <v>PVC Conduit - Industrial Grade 184</v>
      </c>
      <c r="C185" s="2">
        <f t="shared" si="10"/>
        <v>398</v>
      </c>
      <c r="D185" s="1">
        <f t="shared" si="11"/>
        <v>537.1</v>
      </c>
    </row>
    <row r="186" spans="1:4" x14ac:dyDescent="0.3">
      <c r="A186" t="str">
        <f t="shared" si="8"/>
        <v>PROD-185</v>
      </c>
      <c r="B186" t="str">
        <f t="shared" si="9"/>
        <v>Rubber O-Ring - Industrial Grade 185</v>
      </c>
      <c r="C186" s="2">
        <f t="shared" si="10"/>
        <v>435</v>
      </c>
      <c r="D186" s="1">
        <f t="shared" si="11"/>
        <v>550.79999999999995</v>
      </c>
    </row>
    <row r="187" spans="1:4" x14ac:dyDescent="0.3">
      <c r="A187" t="str">
        <f t="shared" si="8"/>
        <v>PROD-186</v>
      </c>
      <c r="B187" t="str">
        <f t="shared" si="9"/>
        <v>Aluminum Extrusion - Industrial Grade 186</v>
      </c>
      <c r="C187" s="2">
        <f t="shared" si="10"/>
        <v>472</v>
      </c>
      <c r="D187" s="1">
        <f t="shared" si="11"/>
        <v>564.5</v>
      </c>
    </row>
    <row r="188" spans="1:4" x14ac:dyDescent="0.3">
      <c r="A188" t="str">
        <f t="shared" si="8"/>
        <v>PROD-187</v>
      </c>
      <c r="B188" t="str">
        <f t="shared" si="9"/>
        <v>Ceramic Insulator - Industrial Grade 187</v>
      </c>
      <c r="C188" s="2">
        <f t="shared" si="10"/>
        <v>18</v>
      </c>
      <c r="D188" s="1">
        <f t="shared" si="11"/>
        <v>578.20000000000005</v>
      </c>
    </row>
    <row r="189" spans="1:4" x14ac:dyDescent="0.3">
      <c r="A189" t="str">
        <f t="shared" si="8"/>
        <v>PROD-188</v>
      </c>
      <c r="B189" t="str">
        <f t="shared" si="9"/>
        <v>Nylon Cable Tie - Industrial Grade 188</v>
      </c>
      <c r="C189" s="2">
        <f t="shared" si="10"/>
        <v>55</v>
      </c>
      <c r="D189" s="1">
        <f t="shared" si="11"/>
        <v>591.9</v>
      </c>
    </row>
    <row r="190" spans="1:4" x14ac:dyDescent="0.3">
      <c r="A190" t="str">
        <f t="shared" si="8"/>
        <v>PROD-189</v>
      </c>
      <c r="B190" t="str">
        <f t="shared" si="9"/>
        <v>Brass Compression Fitting - Industrial Grade 189</v>
      </c>
      <c r="C190" s="2">
        <f t="shared" si="10"/>
        <v>92</v>
      </c>
      <c r="D190" s="1">
        <f t="shared" si="11"/>
        <v>605.6</v>
      </c>
    </row>
    <row r="191" spans="1:4" x14ac:dyDescent="0.3">
      <c r="A191" t="str">
        <f t="shared" si="8"/>
        <v>PROD-190</v>
      </c>
      <c r="B191" t="str">
        <f t="shared" si="9"/>
        <v>Carbon Steel Washer - Industrial Grade 190</v>
      </c>
      <c r="C191" s="2">
        <f t="shared" si="10"/>
        <v>129</v>
      </c>
      <c r="D191" s="1">
        <f t="shared" si="11"/>
        <v>619.29999999999995</v>
      </c>
    </row>
    <row r="192" spans="1:4" x14ac:dyDescent="0.3">
      <c r="A192" t="str">
        <f t="shared" si="8"/>
        <v>PROD-191</v>
      </c>
      <c r="B192" t="str">
        <f t="shared" si="9"/>
        <v>Silicone Sealant - Industrial Grade 191</v>
      </c>
      <c r="C192" s="2">
        <f t="shared" si="10"/>
        <v>166</v>
      </c>
      <c r="D192" s="1">
        <f t="shared" si="11"/>
        <v>633</v>
      </c>
    </row>
    <row r="193" spans="1:4" x14ac:dyDescent="0.3">
      <c r="A193" t="str">
        <f t="shared" si="8"/>
        <v>PROD-192</v>
      </c>
      <c r="B193" t="str">
        <f t="shared" si="9"/>
        <v>Fiberglass Sleeve - Industrial Grade 192</v>
      </c>
      <c r="C193" s="2">
        <f t="shared" si="10"/>
        <v>203</v>
      </c>
      <c r="D193" s="1">
        <f t="shared" si="11"/>
        <v>646.70000000000005</v>
      </c>
    </row>
    <row r="194" spans="1:4" x14ac:dyDescent="0.3">
      <c r="A194" t="str">
        <f t="shared" ref="A194:A257" si="12">"PROD-"&amp;TEXT(ROW()-1,"000")</f>
        <v>PROD-193</v>
      </c>
      <c r="B194" t="str">
        <f t="shared" ref="B194:B257" si="13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193</v>
      </c>
      <c r="C194" s="2">
        <f t="shared" ref="C194:C257" si="14">MOD((ROW()-2)*37,491)+10</f>
        <v>240</v>
      </c>
      <c r="D194" s="1">
        <f t="shared" ref="D194:D257" si="15">ROUND(15+MOD((ROW()-2)*137,19850)/10,2)</f>
        <v>660.4</v>
      </c>
    </row>
    <row r="195" spans="1:4" x14ac:dyDescent="0.3">
      <c r="A195" t="str">
        <f t="shared" si="12"/>
        <v>PROD-194</v>
      </c>
      <c r="B195" t="str">
        <f t="shared" si="13"/>
        <v>Galvanized U-Bolt - Industrial Grade 194</v>
      </c>
      <c r="C195" s="2">
        <f t="shared" si="14"/>
        <v>277</v>
      </c>
      <c r="D195" s="1">
        <f t="shared" si="15"/>
        <v>674.1</v>
      </c>
    </row>
    <row r="196" spans="1:4" x14ac:dyDescent="0.3">
      <c r="A196" t="str">
        <f t="shared" si="12"/>
        <v>PROD-195</v>
      </c>
      <c r="B196" t="str">
        <f t="shared" si="13"/>
        <v>Neoprene Gasket - Industrial Grade 195</v>
      </c>
      <c r="C196" s="2">
        <f t="shared" si="14"/>
        <v>314</v>
      </c>
      <c r="D196" s="1">
        <f t="shared" si="15"/>
        <v>687.8</v>
      </c>
    </row>
    <row r="197" spans="1:4" x14ac:dyDescent="0.3">
      <c r="A197" t="str">
        <f t="shared" si="12"/>
        <v>PROD-196</v>
      </c>
      <c r="B197" t="str">
        <f t="shared" si="13"/>
        <v>Copper Busbar - Industrial Grade 196</v>
      </c>
      <c r="C197" s="2">
        <f t="shared" si="14"/>
        <v>351</v>
      </c>
      <c r="D197" s="1">
        <f t="shared" si="15"/>
        <v>701.5</v>
      </c>
    </row>
    <row r="198" spans="1:4" x14ac:dyDescent="0.3">
      <c r="A198" t="str">
        <f t="shared" si="12"/>
        <v>PROD-197</v>
      </c>
      <c r="B198" t="str">
        <f t="shared" si="13"/>
        <v>ABS Enclosure - Industrial Grade 197</v>
      </c>
      <c r="C198" s="2">
        <f t="shared" si="14"/>
        <v>388</v>
      </c>
      <c r="D198" s="1">
        <f t="shared" si="15"/>
        <v>715.2</v>
      </c>
    </row>
    <row r="199" spans="1:4" x14ac:dyDescent="0.3">
      <c r="A199" t="str">
        <f t="shared" si="12"/>
        <v>PROD-198</v>
      </c>
      <c r="B199" t="str">
        <f t="shared" si="13"/>
        <v>Teflon Tape - Industrial Grade 198</v>
      </c>
      <c r="C199" s="2">
        <f t="shared" si="14"/>
        <v>425</v>
      </c>
      <c r="D199" s="1">
        <f t="shared" si="15"/>
        <v>728.9</v>
      </c>
    </row>
    <row r="200" spans="1:4" x14ac:dyDescent="0.3">
      <c r="A200" t="str">
        <f t="shared" si="12"/>
        <v>PROD-199</v>
      </c>
      <c r="B200" t="str">
        <f t="shared" si="13"/>
        <v>Steel Machine Screw - Industrial Grade 199</v>
      </c>
      <c r="C200" s="2">
        <f t="shared" si="14"/>
        <v>462</v>
      </c>
      <c r="D200" s="1">
        <f t="shared" si="15"/>
        <v>742.6</v>
      </c>
    </row>
    <row r="201" spans="1:4" x14ac:dyDescent="0.3">
      <c r="A201" t="str">
        <f t="shared" si="12"/>
        <v>PROD-200</v>
      </c>
      <c r="B201" t="str">
        <f t="shared" si="13"/>
        <v>Heat-Shrink Tubing - Industrial Grade 200</v>
      </c>
      <c r="C201" s="2">
        <f t="shared" si="14"/>
        <v>499</v>
      </c>
      <c r="D201" s="1">
        <f t="shared" si="15"/>
        <v>756.3</v>
      </c>
    </row>
    <row r="202" spans="1:4" x14ac:dyDescent="0.3">
      <c r="A202" t="str">
        <f t="shared" si="12"/>
        <v>PROD-201</v>
      </c>
      <c r="B202" t="str">
        <f t="shared" si="13"/>
        <v>Industrial Adhesive - Light Duty 201</v>
      </c>
      <c r="C202" s="2">
        <f t="shared" si="14"/>
        <v>45</v>
      </c>
      <c r="D202" s="1">
        <f t="shared" si="15"/>
        <v>770</v>
      </c>
    </row>
    <row r="203" spans="1:4" x14ac:dyDescent="0.3">
      <c r="A203" t="str">
        <f t="shared" si="12"/>
        <v>PROD-202</v>
      </c>
      <c r="B203" t="str">
        <f t="shared" si="13"/>
        <v>Stainless Steel Bracket - Light Duty 202</v>
      </c>
      <c r="C203" s="2">
        <f t="shared" si="14"/>
        <v>82</v>
      </c>
      <c r="D203" s="1">
        <f t="shared" si="15"/>
        <v>783.7</v>
      </c>
    </row>
    <row r="204" spans="1:4" x14ac:dyDescent="0.3">
      <c r="A204" t="str">
        <f t="shared" si="12"/>
        <v>PROD-203</v>
      </c>
      <c r="B204" t="str">
        <f t="shared" si="13"/>
        <v>Copper Terminal Lug - Light Duty 203</v>
      </c>
      <c r="C204" s="2">
        <f t="shared" si="14"/>
        <v>119</v>
      </c>
      <c r="D204" s="1">
        <f t="shared" si="15"/>
        <v>797.4</v>
      </c>
    </row>
    <row r="205" spans="1:4" x14ac:dyDescent="0.3">
      <c r="A205" t="str">
        <f t="shared" si="12"/>
        <v>PROD-204</v>
      </c>
      <c r="B205" t="str">
        <f t="shared" si="13"/>
        <v>PVC Conduit - Light Duty 204</v>
      </c>
      <c r="C205" s="2">
        <f t="shared" si="14"/>
        <v>156</v>
      </c>
      <c r="D205" s="1">
        <f t="shared" si="15"/>
        <v>811.1</v>
      </c>
    </row>
    <row r="206" spans="1:4" x14ac:dyDescent="0.3">
      <c r="A206" t="str">
        <f t="shared" si="12"/>
        <v>PROD-205</v>
      </c>
      <c r="B206" t="str">
        <f t="shared" si="13"/>
        <v>Rubber O-Ring - Light Duty 205</v>
      </c>
      <c r="C206" s="2">
        <f t="shared" si="14"/>
        <v>193</v>
      </c>
      <c r="D206" s="1">
        <f t="shared" si="15"/>
        <v>824.8</v>
      </c>
    </row>
    <row r="207" spans="1:4" x14ac:dyDescent="0.3">
      <c r="A207" t="str">
        <f t="shared" si="12"/>
        <v>PROD-206</v>
      </c>
      <c r="B207" t="str">
        <f t="shared" si="13"/>
        <v>Aluminum Extrusion - Light Duty 206</v>
      </c>
      <c r="C207" s="2">
        <f t="shared" si="14"/>
        <v>230</v>
      </c>
      <c r="D207" s="1">
        <f t="shared" si="15"/>
        <v>838.5</v>
      </c>
    </row>
    <row r="208" spans="1:4" x14ac:dyDescent="0.3">
      <c r="A208" t="str">
        <f t="shared" si="12"/>
        <v>PROD-207</v>
      </c>
      <c r="B208" t="str">
        <f t="shared" si="13"/>
        <v>Ceramic Insulator - Light Duty 207</v>
      </c>
      <c r="C208" s="2">
        <f t="shared" si="14"/>
        <v>267</v>
      </c>
      <c r="D208" s="1">
        <f t="shared" si="15"/>
        <v>852.2</v>
      </c>
    </row>
    <row r="209" spans="1:4" x14ac:dyDescent="0.3">
      <c r="A209" t="str">
        <f t="shared" si="12"/>
        <v>PROD-208</v>
      </c>
      <c r="B209" t="str">
        <f t="shared" si="13"/>
        <v>Nylon Cable Tie - Light Duty 208</v>
      </c>
      <c r="C209" s="2">
        <f t="shared" si="14"/>
        <v>304</v>
      </c>
      <c r="D209" s="1">
        <f t="shared" si="15"/>
        <v>865.9</v>
      </c>
    </row>
    <row r="210" spans="1:4" x14ac:dyDescent="0.3">
      <c r="A210" t="str">
        <f t="shared" si="12"/>
        <v>PROD-209</v>
      </c>
      <c r="B210" t="str">
        <f t="shared" si="13"/>
        <v>Brass Compression Fitting - Light Duty 209</v>
      </c>
      <c r="C210" s="2">
        <f t="shared" si="14"/>
        <v>341</v>
      </c>
      <c r="D210" s="1">
        <f t="shared" si="15"/>
        <v>879.6</v>
      </c>
    </row>
    <row r="211" spans="1:4" x14ac:dyDescent="0.3">
      <c r="A211" t="str">
        <f t="shared" si="12"/>
        <v>PROD-210</v>
      </c>
      <c r="B211" t="str">
        <f t="shared" si="13"/>
        <v>Carbon Steel Washer - Light Duty 210</v>
      </c>
      <c r="C211" s="2">
        <f t="shared" si="14"/>
        <v>378</v>
      </c>
      <c r="D211" s="1">
        <f t="shared" si="15"/>
        <v>893.3</v>
      </c>
    </row>
    <row r="212" spans="1:4" x14ac:dyDescent="0.3">
      <c r="A212" t="str">
        <f t="shared" si="12"/>
        <v>PROD-211</v>
      </c>
      <c r="B212" t="str">
        <f t="shared" si="13"/>
        <v>Silicone Sealant - Light Duty 211</v>
      </c>
      <c r="C212" s="2">
        <f t="shared" si="14"/>
        <v>415</v>
      </c>
      <c r="D212" s="1">
        <f t="shared" si="15"/>
        <v>907</v>
      </c>
    </row>
    <row r="213" spans="1:4" x14ac:dyDescent="0.3">
      <c r="A213" t="str">
        <f t="shared" si="12"/>
        <v>PROD-212</v>
      </c>
      <c r="B213" t="str">
        <f t="shared" si="13"/>
        <v>Fiberglass Sleeve - Light Duty 212</v>
      </c>
      <c r="C213" s="2">
        <f t="shared" si="14"/>
        <v>452</v>
      </c>
      <c r="D213" s="1">
        <f t="shared" si="15"/>
        <v>920.7</v>
      </c>
    </row>
    <row r="214" spans="1:4" x14ac:dyDescent="0.3">
      <c r="A214" t="str">
        <f t="shared" si="12"/>
        <v>PROD-213</v>
      </c>
      <c r="B214" t="str">
        <f t="shared" si="13"/>
        <v>Polycarbonate Panel - Light Duty 213</v>
      </c>
      <c r="C214" s="2">
        <f t="shared" si="14"/>
        <v>489</v>
      </c>
      <c r="D214" s="1">
        <f t="shared" si="15"/>
        <v>934.4</v>
      </c>
    </row>
    <row r="215" spans="1:4" x14ac:dyDescent="0.3">
      <c r="A215" t="str">
        <f t="shared" si="12"/>
        <v>PROD-214</v>
      </c>
      <c r="B215" t="str">
        <f t="shared" si="13"/>
        <v>Galvanized U-Bolt - Light Duty 214</v>
      </c>
      <c r="C215" s="2">
        <f t="shared" si="14"/>
        <v>35</v>
      </c>
      <c r="D215" s="1">
        <f t="shared" si="15"/>
        <v>948.1</v>
      </c>
    </row>
    <row r="216" spans="1:4" x14ac:dyDescent="0.3">
      <c r="A216" t="str">
        <f t="shared" si="12"/>
        <v>PROD-215</v>
      </c>
      <c r="B216" t="str">
        <f t="shared" si="13"/>
        <v>Neoprene Gasket - Light Duty 215</v>
      </c>
      <c r="C216" s="2">
        <f t="shared" si="14"/>
        <v>72</v>
      </c>
      <c r="D216" s="1">
        <f t="shared" si="15"/>
        <v>961.8</v>
      </c>
    </row>
    <row r="217" spans="1:4" x14ac:dyDescent="0.3">
      <c r="A217" t="str">
        <f t="shared" si="12"/>
        <v>PROD-216</v>
      </c>
      <c r="B217" t="str">
        <f t="shared" si="13"/>
        <v>Copper Busbar - Light Duty 216</v>
      </c>
      <c r="C217" s="2">
        <f t="shared" si="14"/>
        <v>109</v>
      </c>
      <c r="D217" s="1">
        <f t="shared" si="15"/>
        <v>975.5</v>
      </c>
    </row>
    <row r="218" spans="1:4" x14ac:dyDescent="0.3">
      <c r="A218" t="str">
        <f t="shared" si="12"/>
        <v>PROD-217</v>
      </c>
      <c r="B218" t="str">
        <f t="shared" si="13"/>
        <v>ABS Enclosure - Light Duty 217</v>
      </c>
      <c r="C218" s="2">
        <f t="shared" si="14"/>
        <v>146</v>
      </c>
      <c r="D218" s="1">
        <f t="shared" si="15"/>
        <v>989.2</v>
      </c>
    </row>
    <row r="219" spans="1:4" x14ac:dyDescent="0.3">
      <c r="A219" t="str">
        <f t="shared" si="12"/>
        <v>PROD-218</v>
      </c>
      <c r="B219" t="str">
        <f t="shared" si="13"/>
        <v>Teflon Tape - Light Duty 218</v>
      </c>
      <c r="C219" s="2">
        <f t="shared" si="14"/>
        <v>183</v>
      </c>
      <c r="D219" s="1">
        <f t="shared" si="15"/>
        <v>1002.9</v>
      </c>
    </row>
    <row r="220" spans="1:4" x14ac:dyDescent="0.3">
      <c r="A220" t="str">
        <f t="shared" si="12"/>
        <v>PROD-219</v>
      </c>
      <c r="B220" t="str">
        <f t="shared" si="13"/>
        <v>Steel Machine Screw - Light Duty 219</v>
      </c>
      <c r="C220" s="2">
        <f t="shared" si="14"/>
        <v>220</v>
      </c>
      <c r="D220" s="1">
        <f t="shared" si="15"/>
        <v>1016.6</v>
      </c>
    </row>
    <row r="221" spans="1:4" x14ac:dyDescent="0.3">
      <c r="A221" t="str">
        <f t="shared" si="12"/>
        <v>PROD-220</v>
      </c>
      <c r="B221" t="str">
        <f t="shared" si="13"/>
        <v>Heat-Shrink Tubing - Light Duty 220</v>
      </c>
      <c r="C221" s="2">
        <f t="shared" si="14"/>
        <v>257</v>
      </c>
      <c r="D221" s="1">
        <f t="shared" si="15"/>
        <v>1030.3</v>
      </c>
    </row>
    <row r="222" spans="1:4" x14ac:dyDescent="0.3">
      <c r="A222" t="str">
        <f t="shared" si="12"/>
        <v>PROD-221</v>
      </c>
      <c r="B222" t="str">
        <f t="shared" si="13"/>
        <v>Industrial Adhesive - Standard Grade 221</v>
      </c>
      <c r="C222" s="2">
        <f t="shared" si="14"/>
        <v>294</v>
      </c>
      <c r="D222" s="1">
        <f t="shared" si="15"/>
        <v>1044</v>
      </c>
    </row>
    <row r="223" spans="1:4" x14ac:dyDescent="0.3">
      <c r="A223" t="str">
        <f t="shared" si="12"/>
        <v>PROD-222</v>
      </c>
      <c r="B223" t="str">
        <f t="shared" si="13"/>
        <v>Stainless Steel Bracket - Standard Grade 222</v>
      </c>
      <c r="C223" s="2">
        <f t="shared" si="14"/>
        <v>331</v>
      </c>
      <c r="D223" s="1">
        <f t="shared" si="15"/>
        <v>1057.7</v>
      </c>
    </row>
    <row r="224" spans="1:4" x14ac:dyDescent="0.3">
      <c r="A224" t="str">
        <f t="shared" si="12"/>
        <v>PROD-223</v>
      </c>
      <c r="B224" t="str">
        <f t="shared" si="13"/>
        <v>Copper Terminal Lug - Standard Grade 223</v>
      </c>
      <c r="C224" s="2">
        <f t="shared" si="14"/>
        <v>368</v>
      </c>
      <c r="D224" s="1">
        <f t="shared" si="15"/>
        <v>1071.4000000000001</v>
      </c>
    </row>
    <row r="225" spans="1:4" x14ac:dyDescent="0.3">
      <c r="A225" t="str">
        <f t="shared" si="12"/>
        <v>PROD-224</v>
      </c>
      <c r="B225" t="str">
        <f t="shared" si="13"/>
        <v>PVC Conduit - Standard Grade 224</v>
      </c>
      <c r="C225" s="2">
        <f t="shared" si="14"/>
        <v>405</v>
      </c>
      <c r="D225" s="1">
        <f t="shared" si="15"/>
        <v>1085.0999999999999</v>
      </c>
    </row>
    <row r="226" spans="1:4" x14ac:dyDescent="0.3">
      <c r="A226" t="str">
        <f t="shared" si="12"/>
        <v>PROD-225</v>
      </c>
      <c r="B226" t="str">
        <f t="shared" si="13"/>
        <v>Rubber O-Ring - Standard Grade 225</v>
      </c>
      <c r="C226" s="2">
        <f t="shared" si="14"/>
        <v>442</v>
      </c>
      <c r="D226" s="1">
        <f t="shared" si="15"/>
        <v>1098.8</v>
      </c>
    </row>
    <row r="227" spans="1:4" x14ac:dyDescent="0.3">
      <c r="A227" t="str">
        <f t="shared" si="12"/>
        <v>PROD-226</v>
      </c>
      <c r="B227" t="str">
        <f t="shared" si="13"/>
        <v>Aluminum Extrusion - Standard Grade 226</v>
      </c>
      <c r="C227" s="2">
        <f t="shared" si="14"/>
        <v>479</v>
      </c>
      <c r="D227" s="1">
        <f t="shared" si="15"/>
        <v>1112.5</v>
      </c>
    </row>
    <row r="228" spans="1:4" x14ac:dyDescent="0.3">
      <c r="A228" t="str">
        <f t="shared" si="12"/>
        <v>PROD-227</v>
      </c>
      <c r="B228" t="str">
        <f t="shared" si="13"/>
        <v>Ceramic Insulator - Standard Grade 227</v>
      </c>
      <c r="C228" s="2">
        <f t="shared" si="14"/>
        <v>25</v>
      </c>
      <c r="D228" s="1">
        <f t="shared" si="15"/>
        <v>1126.2</v>
      </c>
    </row>
    <row r="229" spans="1:4" x14ac:dyDescent="0.3">
      <c r="A229" t="str">
        <f t="shared" si="12"/>
        <v>PROD-228</v>
      </c>
      <c r="B229" t="str">
        <f t="shared" si="13"/>
        <v>Nylon Cable Tie - Standard Grade 228</v>
      </c>
      <c r="C229" s="2">
        <f t="shared" si="14"/>
        <v>62</v>
      </c>
      <c r="D229" s="1">
        <f t="shared" si="15"/>
        <v>1139.9000000000001</v>
      </c>
    </row>
    <row r="230" spans="1:4" x14ac:dyDescent="0.3">
      <c r="A230" t="str">
        <f t="shared" si="12"/>
        <v>PROD-229</v>
      </c>
      <c r="B230" t="str">
        <f t="shared" si="13"/>
        <v>Brass Compression Fitting - Standard Grade 229</v>
      </c>
      <c r="C230" s="2">
        <f t="shared" si="14"/>
        <v>99</v>
      </c>
      <c r="D230" s="1">
        <f t="shared" si="15"/>
        <v>1153.5999999999999</v>
      </c>
    </row>
    <row r="231" spans="1:4" x14ac:dyDescent="0.3">
      <c r="A231" t="str">
        <f t="shared" si="12"/>
        <v>PROD-230</v>
      </c>
      <c r="B231" t="str">
        <f t="shared" si="13"/>
        <v>Carbon Steel Washer - Standard Grade 230</v>
      </c>
      <c r="C231" s="2">
        <f t="shared" si="14"/>
        <v>136</v>
      </c>
      <c r="D231" s="1">
        <f t="shared" si="15"/>
        <v>1167.3</v>
      </c>
    </row>
    <row r="232" spans="1:4" x14ac:dyDescent="0.3">
      <c r="A232" t="str">
        <f t="shared" si="12"/>
        <v>PROD-231</v>
      </c>
      <c r="B232" t="str">
        <f t="shared" si="13"/>
        <v>Silicone Sealant - Standard Grade 231</v>
      </c>
      <c r="C232" s="2">
        <f t="shared" si="14"/>
        <v>173</v>
      </c>
      <c r="D232" s="1">
        <f t="shared" si="15"/>
        <v>1181</v>
      </c>
    </row>
    <row r="233" spans="1:4" x14ac:dyDescent="0.3">
      <c r="A233" t="str">
        <f t="shared" si="12"/>
        <v>PROD-232</v>
      </c>
      <c r="B233" t="str">
        <f t="shared" si="13"/>
        <v>Fiberglass Sleeve - Standard Grade 232</v>
      </c>
      <c r="C233" s="2">
        <f t="shared" si="14"/>
        <v>210</v>
      </c>
      <c r="D233" s="1">
        <f t="shared" si="15"/>
        <v>1194.7</v>
      </c>
    </row>
    <row r="234" spans="1:4" x14ac:dyDescent="0.3">
      <c r="A234" t="str">
        <f t="shared" si="12"/>
        <v>PROD-233</v>
      </c>
      <c r="B234" t="str">
        <f t="shared" si="13"/>
        <v>Polycarbonate Panel - Standard Grade 233</v>
      </c>
      <c r="C234" s="2">
        <f t="shared" si="14"/>
        <v>247</v>
      </c>
      <c r="D234" s="1">
        <f t="shared" si="15"/>
        <v>1208.4000000000001</v>
      </c>
    </row>
    <row r="235" spans="1:4" x14ac:dyDescent="0.3">
      <c r="A235" t="str">
        <f t="shared" si="12"/>
        <v>PROD-234</v>
      </c>
      <c r="B235" t="str">
        <f t="shared" si="13"/>
        <v>Galvanized U-Bolt - Standard Grade 234</v>
      </c>
      <c r="C235" s="2">
        <f t="shared" si="14"/>
        <v>284</v>
      </c>
      <c r="D235" s="1">
        <f t="shared" si="15"/>
        <v>1222.0999999999999</v>
      </c>
    </row>
    <row r="236" spans="1:4" x14ac:dyDescent="0.3">
      <c r="A236" t="str">
        <f t="shared" si="12"/>
        <v>PROD-235</v>
      </c>
      <c r="B236" t="str">
        <f t="shared" si="13"/>
        <v>Neoprene Gasket - Standard Grade 235</v>
      </c>
      <c r="C236" s="2">
        <f t="shared" si="14"/>
        <v>321</v>
      </c>
      <c r="D236" s="1">
        <f t="shared" si="15"/>
        <v>1235.8</v>
      </c>
    </row>
    <row r="237" spans="1:4" x14ac:dyDescent="0.3">
      <c r="A237" t="str">
        <f t="shared" si="12"/>
        <v>PROD-236</v>
      </c>
      <c r="B237" t="str">
        <f t="shared" si="13"/>
        <v>Copper Busbar - Standard Grade 236</v>
      </c>
      <c r="C237" s="2">
        <f t="shared" si="14"/>
        <v>358</v>
      </c>
      <c r="D237" s="1">
        <f t="shared" si="15"/>
        <v>1249.5</v>
      </c>
    </row>
    <row r="238" spans="1:4" x14ac:dyDescent="0.3">
      <c r="A238" t="str">
        <f t="shared" si="12"/>
        <v>PROD-237</v>
      </c>
      <c r="B238" t="str">
        <f t="shared" si="13"/>
        <v>ABS Enclosure - Standard Grade 237</v>
      </c>
      <c r="C238" s="2">
        <f t="shared" si="14"/>
        <v>395</v>
      </c>
      <c r="D238" s="1">
        <f t="shared" si="15"/>
        <v>1263.2</v>
      </c>
    </row>
    <row r="239" spans="1:4" x14ac:dyDescent="0.3">
      <c r="A239" t="str">
        <f t="shared" si="12"/>
        <v>PROD-238</v>
      </c>
      <c r="B239" t="str">
        <f t="shared" si="13"/>
        <v>Teflon Tape - Standard Grade 238</v>
      </c>
      <c r="C239" s="2">
        <f t="shared" si="14"/>
        <v>432</v>
      </c>
      <c r="D239" s="1">
        <f t="shared" si="15"/>
        <v>1276.9000000000001</v>
      </c>
    </row>
    <row r="240" spans="1:4" x14ac:dyDescent="0.3">
      <c r="A240" t="str">
        <f t="shared" si="12"/>
        <v>PROD-239</v>
      </c>
      <c r="B240" t="str">
        <f t="shared" si="13"/>
        <v>Steel Machine Screw - Standard Grade 239</v>
      </c>
      <c r="C240" s="2">
        <f t="shared" si="14"/>
        <v>469</v>
      </c>
      <c r="D240" s="1">
        <f t="shared" si="15"/>
        <v>1290.5999999999999</v>
      </c>
    </row>
    <row r="241" spans="1:4" x14ac:dyDescent="0.3">
      <c r="A241" t="str">
        <f t="shared" si="12"/>
        <v>PROD-240</v>
      </c>
      <c r="B241" t="str">
        <f t="shared" si="13"/>
        <v>Heat-Shrink Tubing - Standard Grade 240</v>
      </c>
      <c r="C241" s="2">
        <f t="shared" si="14"/>
        <v>15</v>
      </c>
      <c r="D241" s="1">
        <f t="shared" si="15"/>
        <v>1304.3</v>
      </c>
    </row>
    <row r="242" spans="1:4" x14ac:dyDescent="0.3">
      <c r="A242" t="str">
        <f t="shared" si="12"/>
        <v>PROD-241</v>
      </c>
      <c r="B242" t="str">
        <f t="shared" si="13"/>
        <v>Industrial Adhesive - Heavy Duty 241</v>
      </c>
      <c r="C242" s="2">
        <f t="shared" si="14"/>
        <v>52</v>
      </c>
      <c r="D242" s="1">
        <f t="shared" si="15"/>
        <v>1318</v>
      </c>
    </row>
    <row r="243" spans="1:4" x14ac:dyDescent="0.3">
      <c r="A243" t="str">
        <f t="shared" si="12"/>
        <v>PROD-242</v>
      </c>
      <c r="B243" t="str">
        <f t="shared" si="13"/>
        <v>Stainless Steel Bracket - Heavy Duty 242</v>
      </c>
      <c r="C243" s="2">
        <f t="shared" si="14"/>
        <v>89</v>
      </c>
      <c r="D243" s="1">
        <f t="shared" si="15"/>
        <v>1331.7</v>
      </c>
    </row>
    <row r="244" spans="1:4" x14ac:dyDescent="0.3">
      <c r="A244" t="str">
        <f t="shared" si="12"/>
        <v>PROD-243</v>
      </c>
      <c r="B244" t="str">
        <f t="shared" si="13"/>
        <v>Copper Terminal Lug - Heavy Duty 243</v>
      </c>
      <c r="C244" s="2">
        <f t="shared" si="14"/>
        <v>126</v>
      </c>
      <c r="D244" s="1">
        <f t="shared" si="15"/>
        <v>1345.4</v>
      </c>
    </row>
    <row r="245" spans="1:4" x14ac:dyDescent="0.3">
      <c r="A245" t="str">
        <f t="shared" si="12"/>
        <v>PROD-244</v>
      </c>
      <c r="B245" t="str">
        <f t="shared" si="13"/>
        <v>PVC Conduit - Heavy Duty 244</v>
      </c>
      <c r="C245" s="2">
        <f t="shared" si="14"/>
        <v>163</v>
      </c>
      <c r="D245" s="1">
        <f t="shared" si="15"/>
        <v>1359.1</v>
      </c>
    </row>
    <row r="246" spans="1:4" x14ac:dyDescent="0.3">
      <c r="A246" t="str">
        <f t="shared" si="12"/>
        <v>PROD-245</v>
      </c>
      <c r="B246" t="str">
        <f t="shared" si="13"/>
        <v>Rubber O-Ring - Heavy Duty 245</v>
      </c>
      <c r="C246" s="2">
        <f t="shared" si="14"/>
        <v>200</v>
      </c>
      <c r="D246" s="1">
        <f t="shared" si="15"/>
        <v>1372.8</v>
      </c>
    </row>
    <row r="247" spans="1:4" x14ac:dyDescent="0.3">
      <c r="A247" t="str">
        <f t="shared" si="12"/>
        <v>PROD-246</v>
      </c>
      <c r="B247" t="str">
        <f t="shared" si="13"/>
        <v>Aluminum Extrusion - Heavy Duty 246</v>
      </c>
      <c r="C247" s="2">
        <f t="shared" si="14"/>
        <v>237</v>
      </c>
      <c r="D247" s="1">
        <f t="shared" si="15"/>
        <v>1386.5</v>
      </c>
    </row>
    <row r="248" spans="1:4" x14ac:dyDescent="0.3">
      <c r="A248" t="str">
        <f t="shared" si="12"/>
        <v>PROD-247</v>
      </c>
      <c r="B248" t="str">
        <f t="shared" si="13"/>
        <v>Ceramic Insulator - Heavy Duty 247</v>
      </c>
      <c r="C248" s="2">
        <f t="shared" si="14"/>
        <v>274</v>
      </c>
      <c r="D248" s="1">
        <f t="shared" si="15"/>
        <v>1400.2</v>
      </c>
    </row>
    <row r="249" spans="1:4" x14ac:dyDescent="0.3">
      <c r="A249" t="str">
        <f t="shared" si="12"/>
        <v>PROD-248</v>
      </c>
      <c r="B249" t="str">
        <f t="shared" si="13"/>
        <v>Nylon Cable Tie - Heavy Duty 248</v>
      </c>
      <c r="C249" s="2">
        <f t="shared" si="14"/>
        <v>311</v>
      </c>
      <c r="D249" s="1">
        <f t="shared" si="15"/>
        <v>1413.9</v>
      </c>
    </row>
    <row r="250" spans="1:4" x14ac:dyDescent="0.3">
      <c r="A250" t="str">
        <f t="shared" si="12"/>
        <v>PROD-249</v>
      </c>
      <c r="B250" t="str">
        <f t="shared" si="13"/>
        <v>Brass Compression Fitting - Heavy Duty 249</v>
      </c>
      <c r="C250" s="2">
        <f t="shared" si="14"/>
        <v>348</v>
      </c>
      <c r="D250" s="1">
        <f t="shared" si="15"/>
        <v>1427.6</v>
      </c>
    </row>
    <row r="251" spans="1:4" x14ac:dyDescent="0.3">
      <c r="A251" t="str">
        <f t="shared" si="12"/>
        <v>PROD-250</v>
      </c>
      <c r="B251" t="str">
        <f t="shared" si="13"/>
        <v>Carbon Steel Washer - Heavy Duty 250</v>
      </c>
      <c r="C251" s="2">
        <f t="shared" si="14"/>
        <v>385</v>
      </c>
      <c r="D251" s="1">
        <f t="shared" si="15"/>
        <v>1441.3</v>
      </c>
    </row>
    <row r="252" spans="1:4" x14ac:dyDescent="0.3">
      <c r="A252" t="str">
        <f t="shared" si="12"/>
        <v>PROD-251</v>
      </c>
      <c r="B252" t="str">
        <f t="shared" si="13"/>
        <v>Silicone Sealant - Heavy Duty 251</v>
      </c>
      <c r="C252" s="2">
        <f t="shared" si="14"/>
        <v>422</v>
      </c>
      <c r="D252" s="1">
        <f t="shared" si="15"/>
        <v>1455</v>
      </c>
    </row>
    <row r="253" spans="1:4" x14ac:dyDescent="0.3">
      <c r="A253" t="str">
        <f t="shared" si="12"/>
        <v>PROD-252</v>
      </c>
      <c r="B253" t="str">
        <f t="shared" si="13"/>
        <v>Fiberglass Sleeve - Heavy Duty 252</v>
      </c>
      <c r="C253" s="2">
        <f t="shared" si="14"/>
        <v>459</v>
      </c>
      <c r="D253" s="1">
        <f t="shared" si="15"/>
        <v>1468.7</v>
      </c>
    </row>
    <row r="254" spans="1:4" x14ac:dyDescent="0.3">
      <c r="A254" t="str">
        <f t="shared" si="12"/>
        <v>PROD-253</v>
      </c>
      <c r="B254" t="str">
        <f t="shared" si="13"/>
        <v>Polycarbonate Panel - Heavy Duty 253</v>
      </c>
      <c r="C254" s="2">
        <f t="shared" si="14"/>
        <v>496</v>
      </c>
      <c r="D254" s="1">
        <f t="shared" si="15"/>
        <v>1482.4</v>
      </c>
    </row>
    <row r="255" spans="1:4" x14ac:dyDescent="0.3">
      <c r="A255" t="str">
        <f t="shared" si="12"/>
        <v>PROD-254</v>
      </c>
      <c r="B255" t="str">
        <f t="shared" si="13"/>
        <v>Galvanized U-Bolt - Heavy Duty 254</v>
      </c>
      <c r="C255" s="2">
        <f t="shared" si="14"/>
        <v>42</v>
      </c>
      <c r="D255" s="1">
        <f t="shared" si="15"/>
        <v>1496.1</v>
      </c>
    </row>
    <row r="256" spans="1:4" x14ac:dyDescent="0.3">
      <c r="A256" t="str">
        <f t="shared" si="12"/>
        <v>PROD-255</v>
      </c>
      <c r="B256" t="str">
        <f t="shared" si="13"/>
        <v>Neoprene Gasket - Heavy Duty 255</v>
      </c>
      <c r="C256" s="2">
        <f t="shared" si="14"/>
        <v>79</v>
      </c>
      <c r="D256" s="1">
        <f t="shared" si="15"/>
        <v>1509.8</v>
      </c>
    </row>
    <row r="257" spans="1:4" x14ac:dyDescent="0.3">
      <c r="A257" t="str">
        <f t="shared" si="12"/>
        <v>PROD-256</v>
      </c>
      <c r="B257" t="str">
        <f t="shared" si="13"/>
        <v>Copper Busbar - Heavy Duty 256</v>
      </c>
      <c r="C257" s="2">
        <f t="shared" si="14"/>
        <v>116</v>
      </c>
      <c r="D257" s="1">
        <f t="shared" si="15"/>
        <v>1523.5</v>
      </c>
    </row>
    <row r="258" spans="1:4" x14ac:dyDescent="0.3">
      <c r="A258" t="str">
        <f t="shared" ref="A258:A321" si="16">"PROD-"&amp;TEXT(ROW()-1,"000")</f>
        <v>PROD-257</v>
      </c>
      <c r="B258" t="str">
        <f t="shared" ref="B258:B321" si="17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257</v>
      </c>
      <c r="C258" s="2">
        <f t="shared" ref="C258:C321" si="18">MOD((ROW()-2)*37,491)+10</f>
        <v>153</v>
      </c>
      <c r="D258" s="1">
        <f t="shared" ref="D258:D321" si="19">ROUND(15+MOD((ROW()-2)*137,19850)/10,2)</f>
        <v>1537.2</v>
      </c>
    </row>
    <row r="259" spans="1:4" x14ac:dyDescent="0.3">
      <c r="A259" t="str">
        <f t="shared" si="16"/>
        <v>PROD-258</v>
      </c>
      <c r="B259" t="str">
        <f t="shared" si="17"/>
        <v>Teflon Tape - Heavy Duty 258</v>
      </c>
      <c r="C259" s="2">
        <f t="shared" si="18"/>
        <v>190</v>
      </c>
      <c r="D259" s="1">
        <f t="shared" si="19"/>
        <v>1550.9</v>
      </c>
    </row>
    <row r="260" spans="1:4" x14ac:dyDescent="0.3">
      <c r="A260" t="str">
        <f t="shared" si="16"/>
        <v>PROD-259</v>
      </c>
      <c r="B260" t="str">
        <f t="shared" si="17"/>
        <v>Steel Machine Screw - Heavy Duty 259</v>
      </c>
      <c r="C260" s="2">
        <f t="shared" si="18"/>
        <v>227</v>
      </c>
      <c r="D260" s="1">
        <f t="shared" si="19"/>
        <v>1564.6</v>
      </c>
    </row>
    <row r="261" spans="1:4" x14ac:dyDescent="0.3">
      <c r="A261" t="str">
        <f t="shared" si="16"/>
        <v>PROD-260</v>
      </c>
      <c r="B261" t="str">
        <f t="shared" si="17"/>
        <v>Heat-Shrink Tubing - Heavy Duty 260</v>
      </c>
      <c r="C261" s="2">
        <f t="shared" si="18"/>
        <v>264</v>
      </c>
      <c r="D261" s="1">
        <f t="shared" si="19"/>
        <v>1578.3</v>
      </c>
    </row>
    <row r="262" spans="1:4" x14ac:dyDescent="0.3">
      <c r="A262" t="str">
        <f t="shared" si="16"/>
        <v>PROD-261</v>
      </c>
      <c r="B262" t="str">
        <f t="shared" si="17"/>
        <v>Industrial Adhesive - High Temperature 261</v>
      </c>
      <c r="C262" s="2">
        <f t="shared" si="18"/>
        <v>301</v>
      </c>
      <c r="D262" s="1">
        <f t="shared" si="19"/>
        <v>1592</v>
      </c>
    </row>
    <row r="263" spans="1:4" x14ac:dyDescent="0.3">
      <c r="A263" t="str">
        <f t="shared" si="16"/>
        <v>PROD-262</v>
      </c>
      <c r="B263" t="str">
        <f t="shared" si="17"/>
        <v>Stainless Steel Bracket - High Temperature 262</v>
      </c>
      <c r="C263" s="2">
        <f t="shared" si="18"/>
        <v>338</v>
      </c>
      <c r="D263" s="1">
        <f t="shared" si="19"/>
        <v>1605.7</v>
      </c>
    </row>
    <row r="264" spans="1:4" x14ac:dyDescent="0.3">
      <c r="A264" t="str">
        <f t="shared" si="16"/>
        <v>PROD-263</v>
      </c>
      <c r="B264" t="str">
        <f t="shared" si="17"/>
        <v>Copper Terminal Lug - High Temperature 263</v>
      </c>
      <c r="C264" s="2">
        <f t="shared" si="18"/>
        <v>375</v>
      </c>
      <c r="D264" s="1">
        <f t="shared" si="19"/>
        <v>1619.4</v>
      </c>
    </row>
    <row r="265" spans="1:4" x14ac:dyDescent="0.3">
      <c r="A265" t="str">
        <f t="shared" si="16"/>
        <v>PROD-264</v>
      </c>
      <c r="B265" t="str">
        <f t="shared" si="17"/>
        <v>PVC Conduit - High Temperature 264</v>
      </c>
      <c r="C265" s="2">
        <f t="shared" si="18"/>
        <v>412</v>
      </c>
      <c r="D265" s="1">
        <f t="shared" si="19"/>
        <v>1633.1</v>
      </c>
    </row>
    <row r="266" spans="1:4" x14ac:dyDescent="0.3">
      <c r="A266" t="str">
        <f t="shared" si="16"/>
        <v>PROD-265</v>
      </c>
      <c r="B266" t="str">
        <f t="shared" si="17"/>
        <v>Rubber O-Ring - High Temperature 265</v>
      </c>
      <c r="C266" s="2">
        <f t="shared" si="18"/>
        <v>449</v>
      </c>
      <c r="D266" s="1">
        <f t="shared" si="19"/>
        <v>1646.8</v>
      </c>
    </row>
    <row r="267" spans="1:4" x14ac:dyDescent="0.3">
      <c r="A267" t="str">
        <f t="shared" si="16"/>
        <v>PROD-266</v>
      </c>
      <c r="B267" t="str">
        <f t="shared" si="17"/>
        <v>Aluminum Extrusion - High Temperature 266</v>
      </c>
      <c r="C267" s="2">
        <f t="shared" si="18"/>
        <v>486</v>
      </c>
      <c r="D267" s="1">
        <f t="shared" si="19"/>
        <v>1660.5</v>
      </c>
    </row>
    <row r="268" spans="1:4" x14ac:dyDescent="0.3">
      <c r="A268" t="str">
        <f t="shared" si="16"/>
        <v>PROD-267</v>
      </c>
      <c r="B268" t="str">
        <f t="shared" si="17"/>
        <v>Ceramic Insulator - High Temperature 267</v>
      </c>
      <c r="C268" s="2">
        <f t="shared" si="18"/>
        <v>32</v>
      </c>
      <c r="D268" s="1">
        <f t="shared" si="19"/>
        <v>1674.2</v>
      </c>
    </row>
    <row r="269" spans="1:4" x14ac:dyDescent="0.3">
      <c r="A269" t="str">
        <f t="shared" si="16"/>
        <v>PROD-268</v>
      </c>
      <c r="B269" t="str">
        <f t="shared" si="17"/>
        <v>Nylon Cable Tie - High Temperature 268</v>
      </c>
      <c r="C269" s="2">
        <f t="shared" si="18"/>
        <v>69</v>
      </c>
      <c r="D269" s="1">
        <f t="shared" si="19"/>
        <v>1687.9</v>
      </c>
    </row>
    <row r="270" spans="1:4" x14ac:dyDescent="0.3">
      <c r="A270" t="str">
        <f t="shared" si="16"/>
        <v>PROD-269</v>
      </c>
      <c r="B270" t="str">
        <f t="shared" si="17"/>
        <v>Brass Compression Fitting - High Temperature 269</v>
      </c>
      <c r="C270" s="2">
        <f t="shared" si="18"/>
        <v>106</v>
      </c>
      <c r="D270" s="1">
        <f t="shared" si="19"/>
        <v>1701.6</v>
      </c>
    </row>
    <row r="271" spans="1:4" x14ac:dyDescent="0.3">
      <c r="A271" t="str">
        <f t="shared" si="16"/>
        <v>PROD-270</v>
      </c>
      <c r="B271" t="str">
        <f t="shared" si="17"/>
        <v>Carbon Steel Washer - High Temperature 270</v>
      </c>
      <c r="C271" s="2">
        <f t="shared" si="18"/>
        <v>143</v>
      </c>
      <c r="D271" s="1">
        <f t="shared" si="19"/>
        <v>1715.3</v>
      </c>
    </row>
    <row r="272" spans="1:4" x14ac:dyDescent="0.3">
      <c r="A272" t="str">
        <f t="shared" si="16"/>
        <v>PROD-271</v>
      </c>
      <c r="B272" t="str">
        <f t="shared" si="17"/>
        <v>Silicone Sealant - High Temperature 271</v>
      </c>
      <c r="C272" s="2">
        <f t="shared" si="18"/>
        <v>180</v>
      </c>
      <c r="D272" s="1">
        <f t="shared" si="19"/>
        <v>1729</v>
      </c>
    </row>
    <row r="273" spans="1:4" x14ac:dyDescent="0.3">
      <c r="A273" t="str">
        <f t="shared" si="16"/>
        <v>PROD-272</v>
      </c>
      <c r="B273" t="str">
        <f t="shared" si="17"/>
        <v>Fiberglass Sleeve - High Temperature 272</v>
      </c>
      <c r="C273" s="2">
        <f t="shared" si="18"/>
        <v>217</v>
      </c>
      <c r="D273" s="1">
        <f t="shared" si="19"/>
        <v>1742.7</v>
      </c>
    </row>
    <row r="274" spans="1:4" x14ac:dyDescent="0.3">
      <c r="A274" t="str">
        <f t="shared" si="16"/>
        <v>PROD-273</v>
      </c>
      <c r="B274" t="str">
        <f t="shared" si="17"/>
        <v>Polycarbonate Panel - High Temperature 273</v>
      </c>
      <c r="C274" s="2">
        <f t="shared" si="18"/>
        <v>254</v>
      </c>
      <c r="D274" s="1">
        <f t="shared" si="19"/>
        <v>1756.4</v>
      </c>
    </row>
    <row r="275" spans="1:4" x14ac:dyDescent="0.3">
      <c r="A275" t="str">
        <f t="shared" si="16"/>
        <v>PROD-274</v>
      </c>
      <c r="B275" t="str">
        <f t="shared" si="17"/>
        <v>Galvanized U-Bolt - High Temperature 274</v>
      </c>
      <c r="C275" s="2">
        <f t="shared" si="18"/>
        <v>291</v>
      </c>
      <c r="D275" s="1">
        <f t="shared" si="19"/>
        <v>1770.1</v>
      </c>
    </row>
    <row r="276" spans="1:4" x14ac:dyDescent="0.3">
      <c r="A276" t="str">
        <f t="shared" si="16"/>
        <v>PROD-275</v>
      </c>
      <c r="B276" t="str">
        <f t="shared" si="17"/>
        <v>Neoprene Gasket - High Temperature 275</v>
      </c>
      <c r="C276" s="2">
        <f t="shared" si="18"/>
        <v>328</v>
      </c>
      <c r="D276" s="1">
        <f t="shared" si="19"/>
        <v>1783.8</v>
      </c>
    </row>
    <row r="277" spans="1:4" x14ac:dyDescent="0.3">
      <c r="A277" t="str">
        <f t="shared" si="16"/>
        <v>PROD-276</v>
      </c>
      <c r="B277" t="str">
        <f t="shared" si="17"/>
        <v>Copper Busbar - High Temperature 276</v>
      </c>
      <c r="C277" s="2">
        <f t="shared" si="18"/>
        <v>365</v>
      </c>
      <c r="D277" s="1">
        <f t="shared" si="19"/>
        <v>1797.5</v>
      </c>
    </row>
    <row r="278" spans="1:4" x14ac:dyDescent="0.3">
      <c r="A278" t="str">
        <f t="shared" si="16"/>
        <v>PROD-277</v>
      </c>
      <c r="B278" t="str">
        <f t="shared" si="17"/>
        <v>ABS Enclosure - High Temperature 277</v>
      </c>
      <c r="C278" s="2">
        <f t="shared" si="18"/>
        <v>402</v>
      </c>
      <c r="D278" s="1">
        <f t="shared" si="19"/>
        <v>1811.2</v>
      </c>
    </row>
    <row r="279" spans="1:4" x14ac:dyDescent="0.3">
      <c r="A279" t="str">
        <f t="shared" si="16"/>
        <v>PROD-278</v>
      </c>
      <c r="B279" t="str">
        <f t="shared" si="17"/>
        <v>Teflon Tape - High Temperature 278</v>
      </c>
      <c r="C279" s="2">
        <f t="shared" si="18"/>
        <v>439</v>
      </c>
      <c r="D279" s="1">
        <f t="shared" si="19"/>
        <v>1824.9</v>
      </c>
    </row>
    <row r="280" spans="1:4" x14ac:dyDescent="0.3">
      <c r="A280" t="str">
        <f t="shared" si="16"/>
        <v>PROD-279</v>
      </c>
      <c r="B280" t="str">
        <f t="shared" si="17"/>
        <v>Steel Machine Screw - High Temperature 279</v>
      </c>
      <c r="C280" s="2">
        <f t="shared" si="18"/>
        <v>476</v>
      </c>
      <c r="D280" s="1">
        <f t="shared" si="19"/>
        <v>1838.6</v>
      </c>
    </row>
    <row r="281" spans="1:4" x14ac:dyDescent="0.3">
      <c r="A281" t="str">
        <f t="shared" si="16"/>
        <v>PROD-280</v>
      </c>
      <c r="B281" t="str">
        <f t="shared" si="17"/>
        <v>Heat-Shrink Tubing - High Temperature 280</v>
      </c>
      <c r="C281" s="2">
        <f t="shared" si="18"/>
        <v>22</v>
      </c>
      <c r="D281" s="1">
        <f t="shared" si="19"/>
        <v>1852.3</v>
      </c>
    </row>
    <row r="282" spans="1:4" x14ac:dyDescent="0.3">
      <c r="A282" t="str">
        <f t="shared" si="16"/>
        <v>PROD-281</v>
      </c>
      <c r="B282" t="str">
        <f t="shared" si="17"/>
        <v>Industrial Adhesive - Corrosion Resistant 281</v>
      </c>
      <c r="C282" s="2">
        <f t="shared" si="18"/>
        <v>59</v>
      </c>
      <c r="D282" s="1">
        <f t="shared" si="19"/>
        <v>1866</v>
      </c>
    </row>
    <row r="283" spans="1:4" x14ac:dyDescent="0.3">
      <c r="A283" t="str">
        <f t="shared" si="16"/>
        <v>PROD-282</v>
      </c>
      <c r="B283" t="str">
        <f t="shared" si="17"/>
        <v>Stainless Steel Bracket - Corrosion Resistant 282</v>
      </c>
      <c r="C283" s="2">
        <f t="shared" si="18"/>
        <v>96</v>
      </c>
      <c r="D283" s="1">
        <f t="shared" si="19"/>
        <v>1879.7</v>
      </c>
    </row>
    <row r="284" spans="1:4" x14ac:dyDescent="0.3">
      <c r="A284" t="str">
        <f t="shared" si="16"/>
        <v>PROD-283</v>
      </c>
      <c r="B284" t="str">
        <f t="shared" si="17"/>
        <v>Copper Terminal Lug - Corrosion Resistant 283</v>
      </c>
      <c r="C284" s="2">
        <f t="shared" si="18"/>
        <v>133</v>
      </c>
      <c r="D284" s="1">
        <f t="shared" si="19"/>
        <v>1893.4</v>
      </c>
    </row>
    <row r="285" spans="1:4" x14ac:dyDescent="0.3">
      <c r="A285" t="str">
        <f t="shared" si="16"/>
        <v>PROD-284</v>
      </c>
      <c r="B285" t="str">
        <f t="shared" si="17"/>
        <v>PVC Conduit - Corrosion Resistant 284</v>
      </c>
      <c r="C285" s="2">
        <f t="shared" si="18"/>
        <v>170</v>
      </c>
      <c r="D285" s="1">
        <f t="shared" si="19"/>
        <v>1907.1</v>
      </c>
    </row>
    <row r="286" spans="1:4" x14ac:dyDescent="0.3">
      <c r="A286" t="str">
        <f t="shared" si="16"/>
        <v>PROD-285</v>
      </c>
      <c r="B286" t="str">
        <f t="shared" si="17"/>
        <v>Rubber O-Ring - Corrosion Resistant 285</v>
      </c>
      <c r="C286" s="2">
        <f t="shared" si="18"/>
        <v>207</v>
      </c>
      <c r="D286" s="1">
        <f t="shared" si="19"/>
        <v>1920.8</v>
      </c>
    </row>
    <row r="287" spans="1:4" x14ac:dyDescent="0.3">
      <c r="A287" t="str">
        <f t="shared" si="16"/>
        <v>PROD-286</v>
      </c>
      <c r="B287" t="str">
        <f t="shared" si="17"/>
        <v>Aluminum Extrusion - Corrosion Resistant 286</v>
      </c>
      <c r="C287" s="2">
        <f t="shared" si="18"/>
        <v>244</v>
      </c>
      <c r="D287" s="1">
        <f t="shared" si="19"/>
        <v>1934.5</v>
      </c>
    </row>
    <row r="288" spans="1:4" x14ac:dyDescent="0.3">
      <c r="A288" t="str">
        <f t="shared" si="16"/>
        <v>PROD-287</v>
      </c>
      <c r="B288" t="str">
        <f t="shared" si="17"/>
        <v>Ceramic Insulator - Corrosion Resistant 287</v>
      </c>
      <c r="C288" s="2">
        <f t="shared" si="18"/>
        <v>281</v>
      </c>
      <c r="D288" s="1">
        <f t="shared" si="19"/>
        <v>1948.2</v>
      </c>
    </row>
    <row r="289" spans="1:4" x14ac:dyDescent="0.3">
      <c r="A289" t="str">
        <f t="shared" si="16"/>
        <v>PROD-288</v>
      </c>
      <c r="B289" t="str">
        <f t="shared" si="17"/>
        <v>Nylon Cable Tie - Corrosion Resistant 288</v>
      </c>
      <c r="C289" s="2">
        <f t="shared" si="18"/>
        <v>318</v>
      </c>
      <c r="D289" s="1">
        <f t="shared" si="19"/>
        <v>1961.9</v>
      </c>
    </row>
    <row r="290" spans="1:4" x14ac:dyDescent="0.3">
      <c r="A290" t="str">
        <f t="shared" si="16"/>
        <v>PROD-289</v>
      </c>
      <c r="B290" t="str">
        <f t="shared" si="17"/>
        <v>Brass Compression Fitting - Corrosion Resistant 289</v>
      </c>
      <c r="C290" s="2">
        <f t="shared" si="18"/>
        <v>355</v>
      </c>
      <c r="D290" s="1">
        <f t="shared" si="19"/>
        <v>1975.6</v>
      </c>
    </row>
    <row r="291" spans="1:4" x14ac:dyDescent="0.3">
      <c r="A291" t="str">
        <f t="shared" si="16"/>
        <v>PROD-290</v>
      </c>
      <c r="B291" t="str">
        <f t="shared" si="17"/>
        <v>Carbon Steel Washer - Corrosion Resistant 290</v>
      </c>
      <c r="C291" s="2">
        <f t="shared" si="18"/>
        <v>392</v>
      </c>
      <c r="D291" s="1">
        <f t="shared" si="19"/>
        <v>1989.3</v>
      </c>
    </row>
    <row r="292" spans="1:4" x14ac:dyDescent="0.3">
      <c r="A292" t="str">
        <f t="shared" si="16"/>
        <v>PROD-291</v>
      </c>
      <c r="B292" t="str">
        <f t="shared" si="17"/>
        <v>Silicone Sealant - Corrosion Resistant 291</v>
      </c>
      <c r="C292" s="2">
        <f t="shared" si="18"/>
        <v>429</v>
      </c>
      <c r="D292" s="1">
        <f t="shared" si="19"/>
        <v>18</v>
      </c>
    </row>
    <row r="293" spans="1:4" x14ac:dyDescent="0.3">
      <c r="A293" t="str">
        <f t="shared" si="16"/>
        <v>PROD-292</v>
      </c>
      <c r="B293" t="str">
        <f t="shared" si="17"/>
        <v>Fiberglass Sleeve - Corrosion Resistant 292</v>
      </c>
      <c r="C293" s="2">
        <f t="shared" si="18"/>
        <v>466</v>
      </c>
      <c r="D293" s="1">
        <f t="shared" si="19"/>
        <v>31.7</v>
      </c>
    </row>
    <row r="294" spans="1:4" x14ac:dyDescent="0.3">
      <c r="A294" t="str">
        <f t="shared" si="16"/>
        <v>PROD-293</v>
      </c>
      <c r="B294" t="str">
        <f t="shared" si="17"/>
        <v>Polycarbonate Panel - Corrosion Resistant 293</v>
      </c>
      <c r="C294" s="2">
        <f t="shared" si="18"/>
        <v>12</v>
      </c>
      <c r="D294" s="1">
        <f t="shared" si="19"/>
        <v>45.4</v>
      </c>
    </row>
    <row r="295" spans="1:4" x14ac:dyDescent="0.3">
      <c r="A295" t="str">
        <f t="shared" si="16"/>
        <v>PROD-294</v>
      </c>
      <c r="B295" t="str">
        <f t="shared" si="17"/>
        <v>Galvanized U-Bolt - Corrosion Resistant 294</v>
      </c>
      <c r="C295" s="2">
        <f t="shared" si="18"/>
        <v>49</v>
      </c>
      <c r="D295" s="1">
        <f t="shared" si="19"/>
        <v>59.1</v>
      </c>
    </row>
    <row r="296" spans="1:4" x14ac:dyDescent="0.3">
      <c r="A296" t="str">
        <f t="shared" si="16"/>
        <v>PROD-295</v>
      </c>
      <c r="B296" t="str">
        <f t="shared" si="17"/>
        <v>Neoprene Gasket - Corrosion Resistant 295</v>
      </c>
      <c r="C296" s="2">
        <f t="shared" si="18"/>
        <v>86</v>
      </c>
      <c r="D296" s="1">
        <f t="shared" si="19"/>
        <v>72.8</v>
      </c>
    </row>
    <row r="297" spans="1:4" x14ac:dyDescent="0.3">
      <c r="A297" t="str">
        <f t="shared" si="16"/>
        <v>PROD-296</v>
      </c>
      <c r="B297" t="str">
        <f t="shared" si="17"/>
        <v>Copper Busbar - Corrosion Resistant 296</v>
      </c>
      <c r="C297" s="2">
        <f t="shared" si="18"/>
        <v>123</v>
      </c>
      <c r="D297" s="1">
        <f t="shared" si="19"/>
        <v>86.5</v>
      </c>
    </row>
    <row r="298" spans="1:4" x14ac:dyDescent="0.3">
      <c r="A298" t="str">
        <f t="shared" si="16"/>
        <v>PROD-297</v>
      </c>
      <c r="B298" t="str">
        <f t="shared" si="17"/>
        <v>ABS Enclosure - Corrosion Resistant 297</v>
      </c>
      <c r="C298" s="2">
        <f t="shared" si="18"/>
        <v>160</v>
      </c>
      <c r="D298" s="1">
        <f t="shared" si="19"/>
        <v>100.2</v>
      </c>
    </row>
    <row r="299" spans="1:4" x14ac:dyDescent="0.3">
      <c r="A299" t="str">
        <f t="shared" si="16"/>
        <v>PROD-298</v>
      </c>
      <c r="B299" t="str">
        <f t="shared" si="17"/>
        <v>Teflon Tape - Corrosion Resistant 298</v>
      </c>
      <c r="C299" s="2">
        <f t="shared" si="18"/>
        <v>197</v>
      </c>
      <c r="D299" s="1">
        <f t="shared" si="19"/>
        <v>113.9</v>
      </c>
    </row>
    <row r="300" spans="1:4" x14ac:dyDescent="0.3">
      <c r="A300" t="str">
        <f t="shared" si="16"/>
        <v>PROD-299</v>
      </c>
      <c r="B300" t="str">
        <f t="shared" si="17"/>
        <v>Steel Machine Screw - Corrosion Resistant 299</v>
      </c>
      <c r="C300" s="2">
        <f t="shared" si="18"/>
        <v>234</v>
      </c>
      <c r="D300" s="1">
        <f t="shared" si="19"/>
        <v>127.6</v>
      </c>
    </row>
    <row r="301" spans="1:4" x14ac:dyDescent="0.3">
      <c r="A301" t="str">
        <f t="shared" si="16"/>
        <v>PROD-300</v>
      </c>
      <c r="B301" t="str">
        <f t="shared" si="17"/>
        <v>Heat-Shrink Tubing - Corrosion Resistant 300</v>
      </c>
      <c r="C301" s="2">
        <f t="shared" si="18"/>
        <v>271</v>
      </c>
      <c r="D301" s="1">
        <f t="shared" si="19"/>
        <v>141.30000000000001</v>
      </c>
    </row>
    <row r="302" spans="1:4" x14ac:dyDescent="0.3">
      <c r="A302" t="str">
        <f t="shared" si="16"/>
        <v>PROD-301</v>
      </c>
      <c r="B302" t="str">
        <f t="shared" si="17"/>
        <v>Industrial Adhesive - Precision Grade 301</v>
      </c>
      <c r="C302" s="2">
        <f t="shared" si="18"/>
        <v>308</v>
      </c>
      <c r="D302" s="1">
        <f t="shared" si="19"/>
        <v>155</v>
      </c>
    </row>
    <row r="303" spans="1:4" x14ac:dyDescent="0.3">
      <c r="A303" t="str">
        <f t="shared" si="16"/>
        <v>PROD-302</v>
      </c>
      <c r="B303" t="str">
        <f t="shared" si="17"/>
        <v>Stainless Steel Bracket - Precision Grade 302</v>
      </c>
      <c r="C303" s="2">
        <f t="shared" si="18"/>
        <v>345</v>
      </c>
      <c r="D303" s="1">
        <f t="shared" si="19"/>
        <v>168.7</v>
      </c>
    </row>
    <row r="304" spans="1:4" x14ac:dyDescent="0.3">
      <c r="A304" t="str">
        <f t="shared" si="16"/>
        <v>PROD-303</v>
      </c>
      <c r="B304" t="str">
        <f t="shared" si="17"/>
        <v>Copper Terminal Lug - Precision Grade 303</v>
      </c>
      <c r="C304" s="2">
        <f t="shared" si="18"/>
        <v>382</v>
      </c>
      <c r="D304" s="1">
        <f t="shared" si="19"/>
        <v>182.4</v>
      </c>
    </row>
    <row r="305" spans="1:4" x14ac:dyDescent="0.3">
      <c r="A305" t="str">
        <f t="shared" si="16"/>
        <v>PROD-304</v>
      </c>
      <c r="B305" t="str">
        <f t="shared" si="17"/>
        <v>PVC Conduit - Precision Grade 304</v>
      </c>
      <c r="C305" s="2">
        <f t="shared" si="18"/>
        <v>419</v>
      </c>
      <c r="D305" s="1">
        <f t="shared" si="19"/>
        <v>196.1</v>
      </c>
    </row>
    <row r="306" spans="1:4" x14ac:dyDescent="0.3">
      <c r="A306" t="str">
        <f t="shared" si="16"/>
        <v>PROD-305</v>
      </c>
      <c r="B306" t="str">
        <f t="shared" si="17"/>
        <v>Rubber O-Ring - Precision Grade 305</v>
      </c>
      <c r="C306" s="2">
        <f t="shared" si="18"/>
        <v>456</v>
      </c>
      <c r="D306" s="1">
        <f t="shared" si="19"/>
        <v>209.8</v>
      </c>
    </row>
    <row r="307" spans="1:4" x14ac:dyDescent="0.3">
      <c r="A307" t="str">
        <f t="shared" si="16"/>
        <v>PROD-306</v>
      </c>
      <c r="B307" t="str">
        <f t="shared" si="17"/>
        <v>Aluminum Extrusion - Precision Grade 306</v>
      </c>
      <c r="C307" s="2">
        <f t="shared" si="18"/>
        <v>493</v>
      </c>
      <c r="D307" s="1">
        <f t="shared" si="19"/>
        <v>223.5</v>
      </c>
    </row>
    <row r="308" spans="1:4" x14ac:dyDescent="0.3">
      <c r="A308" t="str">
        <f t="shared" si="16"/>
        <v>PROD-307</v>
      </c>
      <c r="B308" t="str">
        <f t="shared" si="17"/>
        <v>Ceramic Insulator - Precision Grade 307</v>
      </c>
      <c r="C308" s="2">
        <f t="shared" si="18"/>
        <v>39</v>
      </c>
      <c r="D308" s="1">
        <f t="shared" si="19"/>
        <v>237.2</v>
      </c>
    </row>
    <row r="309" spans="1:4" x14ac:dyDescent="0.3">
      <c r="A309" t="str">
        <f t="shared" si="16"/>
        <v>PROD-308</v>
      </c>
      <c r="B309" t="str">
        <f t="shared" si="17"/>
        <v>Nylon Cable Tie - Precision Grade 308</v>
      </c>
      <c r="C309" s="2">
        <f t="shared" si="18"/>
        <v>76</v>
      </c>
      <c r="D309" s="1">
        <f t="shared" si="19"/>
        <v>250.9</v>
      </c>
    </row>
    <row r="310" spans="1:4" x14ac:dyDescent="0.3">
      <c r="A310" t="str">
        <f t="shared" si="16"/>
        <v>PROD-309</v>
      </c>
      <c r="B310" t="str">
        <f t="shared" si="17"/>
        <v>Brass Compression Fitting - Precision Grade 309</v>
      </c>
      <c r="C310" s="2">
        <f t="shared" si="18"/>
        <v>113</v>
      </c>
      <c r="D310" s="1">
        <f t="shared" si="19"/>
        <v>264.60000000000002</v>
      </c>
    </row>
    <row r="311" spans="1:4" x14ac:dyDescent="0.3">
      <c r="A311" t="str">
        <f t="shared" si="16"/>
        <v>PROD-310</v>
      </c>
      <c r="B311" t="str">
        <f t="shared" si="17"/>
        <v>Carbon Steel Washer - Precision Grade 310</v>
      </c>
      <c r="C311" s="2">
        <f t="shared" si="18"/>
        <v>150</v>
      </c>
      <c r="D311" s="1">
        <f t="shared" si="19"/>
        <v>278.3</v>
      </c>
    </row>
    <row r="312" spans="1:4" x14ac:dyDescent="0.3">
      <c r="A312" t="str">
        <f t="shared" si="16"/>
        <v>PROD-311</v>
      </c>
      <c r="B312" t="str">
        <f t="shared" si="17"/>
        <v>Silicone Sealant - Precision Grade 311</v>
      </c>
      <c r="C312" s="2">
        <f t="shared" si="18"/>
        <v>187</v>
      </c>
      <c r="D312" s="1">
        <f t="shared" si="19"/>
        <v>292</v>
      </c>
    </row>
    <row r="313" spans="1:4" x14ac:dyDescent="0.3">
      <c r="A313" t="str">
        <f t="shared" si="16"/>
        <v>PROD-312</v>
      </c>
      <c r="B313" t="str">
        <f t="shared" si="17"/>
        <v>Fiberglass Sleeve - Precision Grade 312</v>
      </c>
      <c r="C313" s="2">
        <f t="shared" si="18"/>
        <v>224</v>
      </c>
      <c r="D313" s="1">
        <f t="shared" si="19"/>
        <v>305.7</v>
      </c>
    </row>
    <row r="314" spans="1:4" x14ac:dyDescent="0.3">
      <c r="A314" t="str">
        <f t="shared" si="16"/>
        <v>PROD-313</v>
      </c>
      <c r="B314" t="str">
        <f t="shared" si="17"/>
        <v>Polycarbonate Panel - Precision Grade 313</v>
      </c>
      <c r="C314" s="2">
        <f t="shared" si="18"/>
        <v>261</v>
      </c>
      <c r="D314" s="1">
        <f t="shared" si="19"/>
        <v>319.39999999999998</v>
      </c>
    </row>
    <row r="315" spans="1:4" x14ac:dyDescent="0.3">
      <c r="A315" t="str">
        <f t="shared" si="16"/>
        <v>PROD-314</v>
      </c>
      <c r="B315" t="str">
        <f t="shared" si="17"/>
        <v>Galvanized U-Bolt - Precision Grade 314</v>
      </c>
      <c r="C315" s="2">
        <f t="shared" si="18"/>
        <v>298</v>
      </c>
      <c r="D315" s="1">
        <f t="shared" si="19"/>
        <v>333.1</v>
      </c>
    </row>
    <row r="316" spans="1:4" x14ac:dyDescent="0.3">
      <c r="A316" t="str">
        <f t="shared" si="16"/>
        <v>PROD-315</v>
      </c>
      <c r="B316" t="str">
        <f t="shared" si="17"/>
        <v>Neoprene Gasket - Precision Grade 315</v>
      </c>
      <c r="C316" s="2">
        <f t="shared" si="18"/>
        <v>335</v>
      </c>
      <c r="D316" s="1">
        <f t="shared" si="19"/>
        <v>346.8</v>
      </c>
    </row>
    <row r="317" spans="1:4" x14ac:dyDescent="0.3">
      <c r="A317" t="str">
        <f t="shared" si="16"/>
        <v>PROD-316</v>
      </c>
      <c r="B317" t="str">
        <f t="shared" si="17"/>
        <v>Copper Busbar - Precision Grade 316</v>
      </c>
      <c r="C317" s="2">
        <f t="shared" si="18"/>
        <v>372</v>
      </c>
      <c r="D317" s="1">
        <f t="shared" si="19"/>
        <v>360.5</v>
      </c>
    </row>
    <row r="318" spans="1:4" x14ac:dyDescent="0.3">
      <c r="A318" t="str">
        <f t="shared" si="16"/>
        <v>PROD-317</v>
      </c>
      <c r="B318" t="str">
        <f t="shared" si="17"/>
        <v>ABS Enclosure - Precision Grade 317</v>
      </c>
      <c r="C318" s="2">
        <f t="shared" si="18"/>
        <v>409</v>
      </c>
      <c r="D318" s="1">
        <f t="shared" si="19"/>
        <v>374.2</v>
      </c>
    </row>
    <row r="319" spans="1:4" x14ac:dyDescent="0.3">
      <c r="A319" t="str">
        <f t="shared" si="16"/>
        <v>PROD-318</v>
      </c>
      <c r="B319" t="str">
        <f t="shared" si="17"/>
        <v>Teflon Tape - Precision Grade 318</v>
      </c>
      <c r="C319" s="2">
        <f t="shared" si="18"/>
        <v>446</v>
      </c>
      <c r="D319" s="1">
        <f t="shared" si="19"/>
        <v>387.9</v>
      </c>
    </row>
    <row r="320" spans="1:4" x14ac:dyDescent="0.3">
      <c r="A320" t="str">
        <f t="shared" si="16"/>
        <v>PROD-319</v>
      </c>
      <c r="B320" t="str">
        <f t="shared" si="17"/>
        <v>Steel Machine Screw - Precision Grade 319</v>
      </c>
      <c r="C320" s="2">
        <f t="shared" si="18"/>
        <v>483</v>
      </c>
      <c r="D320" s="1">
        <f t="shared" si="19"/>
        <v>401.6</v>
      </c>
    </row>
    <row r="321" spans="1:4" x14ac:dyDescent="0.3">
      <c r="A321" t="str">
        <f t="shared" si="16"/>
        <v>PROD-320</v>
      </c>
      <c r="B321" t="str">
        <f t="shared" si="17"/>
        <v>Heat-Shrink Tubing - Precision Grade 320</v>
      </c>
      <c r="C321" s="2">
        <f t="shared" si="18"/>
        <v>29</v>
      </c>
      <c r="D321" s="1">
        <f t="shared" si="19"/>
        <v>415.3</v>
      </c>
    </row>
    <row r="322" spans="1:4" x14ac:dyDescent="0.3">
      <c r="A322" t="str">
        <f t="shared" ref="A322:A385" si="20">"PROD-"&amp;TEXT(ROW()-1,"000")</f>
        <v>PROD-321</v>
      </c>
      <c r="B322" t="str">
        <f t="shared" ref="B322:B385" si="21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321</v>
      </c>
      <c r="C322" s="2">
        <f t="shared" ref="C322:C385" si="22">MOD((ROW()-2)*37,491)+10</f>
        <v>66</v>
      </c>
      <c r="D322" s="1">
        <f t="shared" ref="D322:D385" si="23">ROUND(15+MOD((ROW()-2)*137,19850)/10,2)</f>
        <v>429</v>
      </c>
    </row>
    <row r="323" spans="1:4" x14ac:dyDescent="0.3">
      <c r="A323" t="str">
        <f t="shared" si="20"/>
        <v>PROD-322</v>
      </c>
      <c r="B323" t="str">
        <f t="shared" si="21"/>
        <v>Stainless Steel Bracket - Outdoor Rated 322</v>
      </c>
      <c r="C323" s="2">
        <f t="shared" si="22"/>
        <v>103</v>
      </c>
      <c r="D323" s="1">
        <f t="shared" si="23"/>
        <v>442.7</v>
      </c>
    </row>
    <row r="324" spans="1:4" x14ac:dyDescent="0.3">
      <c r="A324" t="str">
        <f t="shared" si="20"/>
        <v>PROD-323</v>
      </c>
      <c r="B324" t="str">
        <f t="shared" si="21"/>
        <v>Copper Terminal Lug - Outdoor Rated 323</v>
      </c>
      <c r="C324" s="2">
        <f t="shared" si="22"/>
        <v>140</v>
      </c>
      <c r="D324" s="1">
        <f t="shared" si="23"/>
        <v>456.4</v>
      </c>
    </row>
    <row r="325" spans="1:4" x14ac:dyDescent="0.3">
      <c r="A325" t="str">
        <f t="shared" si="20"/>
        <v>PROD-324</v>
      </c>
      <c r="B325" t="str">
        <f t="shared" si="21"/>
        <v>PVC Conduit - Outdoor Rated 324</v>
      </c>
      <c r="C325" s="2">
        <f t="shared" si="22"/>
        <v>177</v>
      </c>
      <c r="D325" s="1">
        <f t="shared" si="23"/>
        <v>470.1</v>
      </c>
    </row>
    <row r="326" spans="1:4" x14ac:dyDescent="0.3">
      <c r="A326" t="str">
        <f t="shared" si="20"/>
        <v>PROD-325</v>
      </c>
      <c r="B326" t="str">
        <f t="shared" si="21"/>
        <v>Rubber O-Ring - Outdoor Rated 325</v>
      </c>
      <c r="C326" s="2">
        <f t="shared" si="22"/>
        <v>214</v>
      </c>
      <c r="D326" s="1">
        <f t="shared" si="23"/>
        <v>483.8</v>
      </c>
    </row>
    <row r="327" spans="1:4" x14ac:dyDescent="0.3">
      <c r="A327" t="str">
        <f t="shared" si="20"/>
        <v>PROD-326</v>
      </c>
      <c r="B327" t="str">
        <f t="shared" si="21"/>
        <v>Aluminum Extrusion - Outdoor Rated 326</v>
      </c>
      <c r="C327" s="2">
        <f t="shared" si="22"/>
        <v>251</v>
      </c>
      <c r="D327" s="1">
        <f t="shared" si="23"/>
        <v>497.5</v>
      </c>
    </row>
    <row r="328" spans="1:4" x14ac:dyDescent="0.3">
      <c r="A328" t="str">
        <f t="shared" si="20"/>
        <v>PROD-327</v>
      </c>
      <c r="B328" t="str">
        <f t="shared" si="21"/>
        <v>Ceramic Insulator - Outdoor Rated 327</v>
      </c>
      <c r="C328" s="2">
        <f t="shared" si="22"/>
        <v>288</v>
      </c>
      <c r="D328" s="1">
        <f t="shared" si="23"/>
        <v>511.2</v>
      </c>
    </row>
    <row r="329" spans="1:4" x14ac:dyDescent="0.3">
      <c r="A329" t="str">
        <f t="shared" si="20"/>
        <v>PROD-328</v>
      </c>
      <c r="B329" t="str">
        <f t="shared" si="21"/>
        <v>Nylon Cable Tie - Outdoor Rated 328</v>
      </c>
      <c r="C329" s="2">
        <f t="shared" si="22"/>
        <v>325</v>
      </c>
      <c r="D329" s="1">
        <f t="shared" si="23"/>
        <v>524.9</v>
      </c>
    </row>
    <row r="330" spans="1:4" x14ac:dyDescent="0.3">
      <c r="A330" t="str">
        <f t="shared" si="20"/>
        <v>PROD-329</v>
      </c>
      <c r="B330" t="str">
        <f t="shared" si="21"/>
        <v>Brass Compression Fitting - Outdoor Rated 329</v>
      </c>
      <c r="C330" s="2">
        <f t="shared" si="22"/>
        <v>362</v>
      </c>
      <c r="D330" s="1">
        <f t="shared" si="23"/>
        <v>538.6</v>
      </c>
    </row>
    <row r="331" spans="1:4" x14ac:dyDescent="0.3">
      <c r="A331" t="str">
        <f t="shared" si="20"/>
        <v>PROD-330</v>
      </c>
      <c r="B331" t="str">
        <f t="shared" si="21"/>
        <v>Carbon Steel Washer - Outdoor Rated 330</v>
      </c>
      <c r="C331" s="2">
        <f t="shared" si="22"/>
        <v>399</v>
      </c>
      <c r="D331" s="1">
        <f t="shared" si="23"/>
        <v>552.29999999999995</v>
      </c>
    </row>
    <row r="332" spans="1:4" x14ac:dyDescent="0.3">
      <c r="A332" t="str">
        <f t="shared" si="20"/>
        <v>PROD-331</v>
      </c>
      <c r="B332" t="str">
        <f t="shared" si="21"/>
        <v>Silicone Sealant - Outdoor Rated 331</v>
      </c>
      <c r="C332" s="2">
        <f t="shared" si="22"/>
        <v>436</v>
      </c>
      <c r="D332" s="1">
        <f t="shared" si="23"/>
        <v>566</v>
      </c>
    </row>
    <row r="333" spans="1:4" x14ac:dyDescent="0.3">
      <c r="A333" t="str">
        <f t="shared" si="20"/>
        <v>PROD-332</v>
      </c>
      <c r="B333" t="str">
        <f t="shared" si="21"/>
        <v>Fiberglass Sleeve - Outdoor Rated 332</v>
      </c>
      <c r="C333" s="2">
        <f t="shared" si="22"/>
        <v>473</v>
      </c>
      <c r="D333" s="1">
        <f t="shared" si="23"/>
        <v>579.70000000000005</v>
      </c>
    </row>
    <row r="334" spans="1:4" x14ac:dyDescent="0.3">
      <c r="A334" t="str">
        <f t="shared" si="20"/>
        <v>PROD-333</v>
      </c>
      <c r="B334" t="str">
        <f t="shared" si="21"/>
        <v>Polycarbonate Panel - Outdoor Rated 333</v>
      </c>
      <c r="C334" s="2">
        <f t="shared" si="22"/>
        <v>19</v>
      </c>
      <c r="D334" s="1">
        <f t="shared" si="23"/>
        <v>593.4</v>
      </c>
    </row>
    <row r="335" spans="1:4" x14ac:dyDescent="0.3">
      <c r="A335" t="str">
        <f t="shared" si="20"/>
        <v>PROD-334</v>
      </c>
      <c r="B335" t="str">
        <f t="shared" si="21"/>
        <v>Galvanized U-Bolt - Outdoor Rated 334</v>
      </c>
      <c r="C335" s="2">
        <f t="shared" si="22"/>
        <v>56</v>
      </c>
      <c r="D335" s="1">
        <f t="shared" si="23"/>
        <v>607.1</v>
      </c>
    </row>
    <row r="336" spans="1:4" x14ac:dyDescent="0.3">
      <c r="A336" t="str">
        <f t="shared" si="20"/>
        <v>PROD-335</v>
      </c>
      <c r="B336" t="str">
        <f t="shared" si="21"/>
        <v>Neoprene Gasket - Outdoor Rated 335</v>
      </c>
      <c r="C336" s="2">
        <f t="shared" si="22"/>
        <v>93</v>
      </c>
      <c r="D336" s="1">
        <f t="shared" si="23"/>
        <v>620.79999999999995</v>
      </c>
    </row>
    <row r="337" spans="1:4" x14ac:dyDescent="0.3">
      <c r="A337" t="str">
        <f t="shared" si="20"/>
        <v>PROD-336</v>
      </c>
      <c r="B337" t="str">
        <f t="shared" si="21"/>
        <v>Copper Busbar - Outdoor Rated 336</v>
      </c>
      <c r="C337" s="2">
        <f t="shared" si="22"/>
        <v>130</v>
      </c>
      <c r="D337" s="1">
        <f t="shared" si="23"/>
        <v>634.5</v>
      </c>
    </row>
    <row r="338" spans="1:4" x14ac:dyDescent="0.3">
      <c r="A338" t="str">
        <f t="shared" si="20"/>
        <v>PROD-337</v>
      </c>
      <c r="B338" t="str">
        <f t="shared" si="21"/>
        <v>ABS Enclosure - Outdoor Rated 337</v>
      </c>
      <c r="C338" s="2">
        <f t="shared" si="22"/>
        <v>167</v>
      </c>
      <c r="D338" s="1">
        <f t="shared" si="23"/>
        <v>648.20000000000005</v>
      </c>
    </row>
    <row r="339" spans="1:4" x14ac:dyDescent="0.3">
      <c r="A339" t="str">
        <f t="shared" si="20"/>
        <v>PROD-338</v>
      </c>
      <c r="B339" t="str">
        <f t="shared" si="21"/>
        <v>Teflon Tape - Outdoor Rated 338</v>
      </c>
      <c r="C339" s="2">
        <f t="shared" si="22"/>
        <v>204</v>
      </c>
      <c r="D339" s="1">
        <f t="shared" si="23"/>
        <v>661.9</v>
      </c>
    </row>
    <row r="340" spans="1:4" x14ac:dyDescent="0.3">
      <c r="A340" t="str">
        <f t="shared" si="20"/>
        <v>PROD-339</v>
      </c>
      <c r="B340" t="str">
        <f t="shared" si="21"/>
        <v>Steel Machine Screw - Outdoor Rated 339</v>
      </c>
      <c r="C340" s="2">
        <f t="shared" si="22"/>
        <v>241</v>
      </c>
      <c r="D340" s="1">
        <f t="shared" si="23"/>
        <v>675.6</v>
      </c>
    </row>
    <row r="341" spans="1:4" x14ac:dyDescent="0.3">
      <c r="A341" t="str">
        <f t="shared" si="20"/>
        <v>PROD-340</v>
      </c>
      <c r="B341" t="str">
        <f t="shared" si="21"/>
        <v>Heat-Shrink Tubing - Outdoor Rated 340</v>
      </c>
      <c r="C341" s="2">
        <f t="shared" si="22"/>
        <v>278</v>
      </c>
      <c r="D341" s="1">
        <f t="shared" si="23"/>
        <v>689.3</v>
      </c>
    </row>
    <row r="342" spans="1:4" x14ac:dyDescent="0.3">
      <c r="A342" t="str">
        <f t="shared" si="20"/>
        <v>PROD-341</v>
      </c>
      <c r="B342" t="str">
        <f t="shared" si="21"/>
        <v>Industrial Adhesive - Food Grade 341</v>
      </c>
      <c r="C342" s="2">
        <f t="shared" si="22"/>
        <v>315</v>
      </c>
      <c r="D342" s="1">
        <f t="shared" si="23"/>
        <v>703</v>
      </c>
    </row>
    <row r="343" spans="1:4" x14ac:dyDescent="0.3">
      <c r="A343" t="str">
        <f t="shared" si="20"/>
        <v>PROD-342</v>
      </c>
      <c r="B343" t="str">
        <f t="shared" si="21"/>
        <v>Stainless Steel Bracket - Food Grade 342</v>
      </c>
      <c r="C343" s="2">
        <f t="shared" si="22"/>
        <v>352</v>
      </c>
      <c r="D343" s="1">
        <f t="shared" si="23"/>
        <v>716.7</v>
      </c>
    </row>
    <row r="344" spans="1:4" x14ac:dyDescent="0.3">
      <c r="A344" t="str">
        <f t="shared" si="20"/>
        <v>PROD-343</v>
      </c>
      <c r="B344" t="str">
        <f t="shared" si="21"/>
        <v>Copper Terminal Lug - Food Grade 343</v>
      </c>
      <c r="C344" s="2">
        <f t="shared" si="22"/>
        <v>389</v>
      </c>
      <c r="D344" s="1">
        <f t="shared" si="23"/>
        <v>730.4</v>
      </c>
    </row>
    <row r="345" spans="1:4" x14ac:dyDescent="0.3">
      <c r="A345" t="str">
        <f t="shared" si="20"/>
        <v>PROD-344</v>
      </c>
      <c r="B345" t="str">
        <f t="shared" si="21"/>
        <v>PVC Conduit - Food Grade 344</v>
      </c>
      <c r="C345" s="2">
        <f t="shared" si="22"/>
        <v>426</v>
      </c>
      <c r="D345" s="1">
        <f t="shared" si="23"/>
        <v>744.1</v>
      </c>
    </row>
    <row r="346" spans="1:4" x14ac:dyDescent="0.3">
      <c r="A346" t="str">
        <f t="shared" si="20"/>
        <v>PROD-345</v>
      </c>
      <c r="B346" t="str">
        <f t="shared" si="21"/>
        <v>Rubber O-Ring - Food Grade 345</v>
      </c>
      <c r="C346" s="2">
        <f t="shared" si="22"/>
        <v>463</v>
      </c>
      <c r="D346" s="1">
        <f t="shared" si="23"/>
        <v>757.8</v>
      </c>
    </row>
    <row r="347" spans="1:4" x14ac:dyDescent="0.3">
      <c r="A347" t="str">
        <f t="shared" si="20"/>
        <v>PROD-346</v>
      </c>
      <c r="B347" t="str">
        <f t="shared" si="21"/>
        <v>Aluminum Extrusion - Food Grade 346</v>
      </c>
      <c r="C347" s="2">
        <f t="shared" si="22"/>
        <v>500</v>
      </c>
      <c r="D347" s="1">
        <f t="shared" si="23"/>
        <v>771.5</v>
      </c>
    </row>
    <row r="348" spans="1:4" x14ac:dyDescent="0.3">
      <c r="A348" t="str">
        <f t="shared" si="20"/>
        <v>PROD-347</v>
      </c>
      <c r="B348" t="str">
        <f t="shared" si="21"/>
        <v>Ceramic Insulator - Food Grade 347</v>
      </c>
      <c r="C348" s="2">
        <f t="shared" si="22"/>
        <v>46</v>
      </c>
      <c r="D348" s="1">
        <f t="shared" si="23"/>
        <v>785.2</v>
      </c>
    </row>
    <row r="349" spans="1:4" x14ac:dyDescent="0.3">
      <c r="A349" t="str">
        <f t="shared" si="20"/>
        <v>PROD-348</v>
      </c>
      <c r="B349" t="str">
        <f t="shared" si="21"/>
        <v>Nylon Cable Tie - Food Grade 348</v>
      </c>
      <c r="C349" s="2">
        <f t="shared" si="22"/>
        <v>83</v>
      </c>
      <c r="D349" s="1">
        <f t="shared" si="23"/>
        <v>798.9</v>
      </c>
    </row>
    <row r="350" spans="1:4" x14ac:dyDescent="0.3">
      <c r="A350" t="str">
        <f t="shared" si="20"/>
        <v>PROD-349</v>
      </c>
      <c r="B350" t="str">
        <f t="shared" si="21"/>
        <v>Brass Compression Fitting - Food Grade 349</v>
      </c>
      <c r="C350" s="2">
        <f t="shared" si="22"/>
        <v>120</v>
      </c>
      <c r="D350" s="1">
        <f t="shared" si="23"/>
        <v>812.6</v>
      </c>
    </row>
    <row r="351" spans="1:4" x14ac:dyDescent="0.3">
      <c r="A351" t="str">
        <f t="shared" si="20"/>
        <v>PROD-350</v>
      </c>
      <c r="B351" t="str">
        <f t="shared" si="21"/>
        <v>Carbon Steel Washer - Food Grade 350</v>
      </c>
      <c r="C351" s="2">
        <f t="shared" si="22"/>
        <v>157</v>
      </c>
      <c r="D351" s="1">
        <f t="shared" si="23"/>
        <v>826.3</v>
      </c>
    </row>
    <row r="352" spans="1:4" x14ac:dyDescent="0.3">
      <c r="A352" t="str">
        <f t="shared" si="20"/>
        <v>PROD-351</v>
      </c>
      <c r="B352" t="str">
        <f t="shared" si="21"/>
        <v>Silicone Sealant - Food Grade 351</v>
      </c>
      <c r="C352" s="2">
        <f t="shared" si="22"/>
        <v>194</v>
      </c>
      <c r="D352" s="1">
        <f t="shared" si="23"/>
        <v>840</v>
      </c>
    </row>
    <row r="353" spans="1:4" x14ac:dyDescent="0.3">
      <c r="A353" t="str">
        <f t="shared" si="20"/>
        <v>PROD-352</v>
      </c>
      <c r="B353" t="str">
        <f t="shared" si="21"/>
        <v>Fiberglass Sleeve - Food Grade 352</v>
      </c>
      <c r="C353" s="2">
        <f t="shared" si="22"/>
        <v>231</v>
      </c>
      <c r="D353" s="1">
        <f t="shared" si="23"/>
        <v>853.7</v>
      </c>
    </row>
    <row r="354" spans="1:4" x14ac:dyDescent="0.3">
      <c r="A354" t="str">
        <f t="shared" si="20"/>
        <v>PROD-353</v>
      </c>
      <c r="B354" t="str">
        <f t="shared" si="21"/>
        <v>Polycarbonate Panel - Food Grade 353</v>
      </c>
      <c r="C354" s="2">
        <f t="shared" si="22"/>
        <v>268</v>
      </c>
      <c r="D354" s="1">
        <f t="shared" si="23"/>
        <v>867.4</v>
      </c>
    </row>
    <row r="355" spans="1:4" x14ac:dyDescent="0.3">
      <c r="A355" t="str">
        <f t="shared" si="20"/>
        <v>PROD-354</v>
      </c>
      <c r="B355" t="str">
        <f t="shared" si="21"/>
        <v>Galvanized U-Bolt - Food Grade 354</v>
      </c>
      <c r="C355" s="2">
        <f t="shared" si="22"/>
        <v>305</v>
      </c>
      <c r="D355" s="1">
        <f t="shared" si="23"/>
        <v>881.1</v>
      </c>
    </row>
    <row r="356" spans="1:4" x14ac:dyDescent="0.3">
      <c r="A356" t="str">
        <f t="shared" si="20"/>
        <v>PROD-355</v>
      </c>
      <c r="B356" t="str">
        <f t="shared" si="21"/>
        <v>Neoprene Gasket - Food Grade 355</v>
      </c>
      <c r="C356" s="2">
        <f t="shared" si="22"/>
        <v>342</v>
      </c>
      <c r="D356" s="1">
        <f t="shared" si="23"/>
        <v>894.8</v>
      </c>
    </row>
    <row r="357" spans="1:4" x14ac:dyDescent="0.3">
      <c r="A357" t="str">
        <f t="shared" si="20"/>
        <v>PROD-356</v>
      </c>
      <c r="B357" t="str">
        <f t="shared" si="21"/>
        <v>Copper Busbar - Food Grade 356</v>
      </c>
      <c r="C357" s="2">
        <f t="shared" si="22"/>
        <v>379</v>
      </c>
      <c r="D357" s="1">
        <f t="shared" si="23"/>
        <v>908.5</v>
      </c>
    </row>
    <row r="358" spans="1:4" x14ac:dyDescent="0.3">
      <c r="A358" t="str">
        <f t="shared" si="20"/>
        <v>PROD-357</v>
      </c>
      <c r="B358" t="str">
        <f t="shared" si="21"/>
        <v>ABS Enclosure - Food Grade 357</v>
      </c>
      <c r="C358" s="2">
        <f t="shared" si="22"/>
        <v>416</v>
      </c>
      <c r="D358" s="1">
        <f t="shared" si="23"/>
        <v>922.2</v>
      </c>
    </row>
    <row r="359" spans="1:4" x14ac:dyDescent="0.3">
      <c r="A359" t="str">
        <f t="shared" si="20"/>
        <v>PROD-358</v>
      </c>
      <c r="B359" t="str">
        <f t="shared" si="21"/>
        <v>Teflon Tape - Food Grade 358</v>
      </c>
      <c r="C359" s="2">
        <f t="shared" si="22"/>
        <v>453</v>
      </c>
      <c r="D359" s="1">
        <f t="shared" si="23"/>
        <v>935.9</v>
      </c>
    </row>
    <row r="360" spans="1:4" x14ac:dyDescent="0.3">
      <c r="A360" t="str">
        <f t="shared" si="20"/>
        <v>PROD-359</v>
      </c>
      <c r="B360" t="str">
        <f t="shared" si="21"/>
        <v>Steel Machine Screw - Food Grade 359</v>
      </c>
      <c r="C360" s="2">
        <f t="shared" si="22"/>
        <v>490</v>
      </c>
      <c r="D360" s="1">
        <f t="shared" si="23"/>
        <v>949.6</v>
      </c>
    </row>
    <row r="361" spans="1:4" x14ac:dyDescent="0.3">
      <c r="A361" t="str">
        <f t="shared" si="20"/>
        <v>PROD-360</v>
      </c>
      <c r="B361" t="str">
        <f t="shared" si="21"/>
        <v>Heat-Shrink Tubing - Food Grade 360</v>
      </c>
      <c r="C361" s="2">
        <f t="shared" si="22"/>
        <v>36</v>
      </c>
      <c r="D361" s="1">
        <f t="shared" si="23"/>
        <v>963.3</v>
      </c>
    </row>
    <row r="362" spans="1:4" x14ac:dyDescent="0.3">
      <c r="A362" t="str">
        <f t="shared" si="20"/>
        <v>PROD-361</v>
      </c>
      <c r="B362" t="str">
        <f t="shared" si="21"/>
        <v>Industrial Adhesive - Low Voltage 361</v>
      </c>
      <c r="C362" s="2">
        <f t="shared" si="22"/>
        <v>73</v>
      </c>
      <c r="D362" s="1">
        <f t="shared" si="23"/>
        <v>977</v>
      </c>
    </row>
    <row r="363" spans="1:4" x14ac:dyDescent="0.3">
      <c r="A363" t="str">
        <f t="shared" si="20"/>
        <v>PROD-362</v>
      </c>
      <c r="B363" t="str">
        <f t="shared" si="21"/>
        <v>Stainless Steel Bracket - Low Voltage 362</v>
      </c>
      <c r="C363" s="2">
        <f t="shared" si="22"/>
        <v>110</v>
      </c>
      <c r="D363" s="1">
        <f t="shared" si="23"/>
        <v>990.7</v>
      </c>
    </row>
    <row r="364" spans="1:4" x14ac:dyDescent="0.3">
      <c r="A364" t="str">
        <f t="shared" si="20"/>
        <v>PROD-363</v>
      </c>
      <c r="B364" t="str">
        <f t="shared" si="21"/>
        <v>Copper Terminal Lug - Low Voltage 363</v>
      </c>
      <c r="C364" s="2">
        <f t="shared" si="22"/>
        <v>147</v>
      </c>
      <c r="D364" s="1">
        <f t="shared" si="23"/>
        <v>1004.4</v>
      </c>
    </row>
    <row r="365" spans="1:4" x14ac:dyDescent="0.3">
      <c r="A365" t="str">
        <f t="shared" si="20"/>
        <v>PROD-364</v>
      </c>
      <c r="B365" t="str">
        <f t="shared" si="21"/>
        <v>PVC Conduit - Low Voltage 364</v>
      </c>
      <c r="C365" s="2">
        <f t="shared" si="22"/>
        <v>184</v>
      </c>
      <c r="D365" s="1">
        <f t="shared" si="23"/>
        <v>1018.1</v>
      </c>
    </row>
    <row r="366" spans="1:4" x14ac:dyDescent="0.3">
      <c r="A366" t="str">
        <f t="shared" si="20"/>
        <v>PROD-365</v>
      </c>
      <c r="B366" t="str">
        <f t="shared" si="21"/>
        <v>Rubber O-Ring - Low Voltage 365</v>
      </c>
      <c r="C366" s="2">
        <f t="shared" si="22"/>
        <v>221</v>
      </c>
      <c r="D366" s="1">
        <f t="shared" si="23"/>
        <v>1031.8</v>
      </c>
    </row>
    <row r="367" spans="1:4" x14ac:dyDescent="0.3">
      <c r="A367" t="str">
        <f t="shared" si="20"/>
        <v>PROD-366</v>
      </c>
      <c r="B367" t="str">
        <f t="shared" si="21"/>
        <v>Aluminum Extrusion - Low Voltage 366</v>
      </c>
      <c r="C367" s="2">
        <f t="shared" si="22"/>
        <v>258</v>
      </c>
      <c r="D367" s="1">
        <f t="shared" si="23"/>
        <v>1045.5</v>
      </c>
    </row>
    <row r="368" spans="1:4" x14ac:dyDescent="0.3">
      <c r="A368" t="str">
        <f t="shared" si="20"/>
        <v>PROD-367</v>
      </c>
      <c r="B368" t="str">
        <f t="shared" si="21"/>
        <v>Ceramic Insulator - Low Voltage 367</v>
      </c>
      <c r="C368" s="2">
        <f t="shared" si="22"/>
        <v>295</v>
      </c>
      <c r="D368" s="1">
        <f t="shared" si="23"/>
        <v>1059.2</v>
      </c>
    </row>
    <row r="369" spans="1:4" x14ac:dyDescent="0.3">
      <c r="A369" t="str">
        <f t="shared" si="20"/>
        <v>PROD-368</v>
      </c>
      <c r="B369" t="str">
        <f t="shared" si="21"/>
        <v>Nylon Cable Tie - Low Voltage 368</v>
      </c>
      <c r="C369" s="2">
        <f t="shared" si="22"/>
        <v>332</v>
      </c>
      <c r="D369" s="1">
        <f t="shared" si="23"/>
        <v>1072.9000000000001</v>
      </c>
    </row>
    <row r="370" spans="1:4" x14ac:dyDescent="0.3">
      <c r="A370" t="str">
        <f t="shared" si="20"/>
        <v>PROD-369</v>
      </c>
      <c r="B370" t="str">
        <f t="shared" si="21"/>
        <v>Brass Compression Fitting - Low Voltage 369</v>
      </c>
      <c r="C370" s="2">
        <f t="shared" si="22"/>
        <v>369</v>
      </c>
      <c r="D370" s="1">
        <f t="shared" si="23"/>
        <v>1086.5999999999999</v>
      </c>
    </row>
    <row r="371" spans="1:4" x14ac:dyDescent="0.3">
      <c r="A371" t="str">
        <f t="shared" si="20"/>
        <v>PROD-370</v>
      </c>
      <c r="B371" t="str">
        <f t="shared" si="21"/>
        <v>Carbon Steel Washer - Low Voltage 370</v>
      </c>
      <c r="C371" s="2">
        <f t="shared" si="22"/>
        <v>406</v>
      </c>
      <c r="D371" s="1">
        <f t="shared" si="23"/>
        <v>1100.3</v>
      </c>
    </row>
    <row r="372" spans="1:4" x14ac:dyDescent="0.3">
      <c r="A372" t="str">
        <f t="shared" si="20"/>
        <v>PROD-371</v>
      </c>
      <c r="B372" t="str">
        <f t="shared" si="21"/>
        <v>Silicone Sealant - Low Voltage 371</v>
      </c>
      <c r="C372" s="2">
        <f t="shared" si="22"/>
        <v>443</v>
      </c>
      <c r="D372" s="1">
        <f t="shared" si="23"/>
        <v>1114</v>
      </c>
    </row>
    <row r="373" spans="1:4" x14ac:dyDescent="0.3">
      <c r="A373" t="str">
        <f t="shared" si="20"/>
        <v>PROD-372</v>
      </c>
      <c r="B373" t="str">
        <f t="shared" si="21"/>
        <v>Fiberglass Sleeve - Low Voltage 372</v>
      </c>
      <c r="C373" s="2">
        <f t="shared" si="22"/>
        <v>480</v>
      </c>
      <c r="D373" s="1">
        <f t="shared" si="23"/>
        <v>1127.7</v>
      </c>
    </row>
    <row r="374" spans="1:4" x14ac:dyDescent="0.3">
      <c r="A374" t="str">
        <f t="shared" si="20"/>
        <v>PROD-373</v>
      </c>
      <c r="B374" t="str">
        <f t="shared" si="21"/>
        <v>Polycarbonate Panel - Low Voltage 373</v>
      </c>
      <c r="C374" s="2">
        <f t="shared" si="22"/>
        <v>26</v>
      </c>
      <c r="D374" s="1">
        <f t="shared" si="23"/>
        <v>1141.4000000000001</v>
      </c>
    </row>
    <row r="375" spans="1:4" x14ac:dyDescent="0.3">
      <c r="A375" t="str">
        <f t="shared" si="20"/>
        <v>PROD-374</v>
      </c>
      <c r="B375" t="str">
        <f t="shared" si="21"/>
        <v>Galvanized U-Bolt - Low Voltage 374</v>
      </c>
      <c r="C375" s="2">
        <f t="shared" si="22"/>
        <v>63</v>
      </c>
      <c r="D375" s="1">
        <f t="shared" si="23"/>
        <v>1155.0999999999999</v>
      </c>
    </row>
    <row r="376" spans="1:4" x14ac:dyDescent="0.3">
      <c r="A376" t="str">
        <f t="shared" si="20"/>
        <v>PROD-375</v>
      </c>
      <c r="B376" t="str">
        <f t="shared" si="21"/>
        <v>Neoprene Gasket - Low Voltage 375</v>
      </c>
      <c r="C376" s="2">
        <f t="shared" si="22"/>
        <v>100</v>
      </c>
      <c r="D376" s="1">
        <f t="shared" si="23"/>
        <v>1168.8</v>
      </c>
    </row>
    <row r="377" spans="1:4" x14ac:dyDescent="0.3">
      <c r="A377" t="str">
        <f t="shared" si="20"/>
        <v>PROD-376</v>
      </c>
      <c r="B377" t="str">
        <f t="shared" si="21"/>
        <v>Copper Busbar - Low Voltage 376</v>
      </c>
      <c r="C377" s="2">
        <f t="shared" si="22"/>
        <v>137</v>
      </c>
      <c r="D377" s="1">
        <f t="shared" si="23"/>
        <v>1182.5</v>
      </c>
    </row>
    <row r="378" spans="1:4" x14ac:dyDescent="0.3">
      <c r="A378" t="str">
        <f t="shared" si="20"/>
        <v>PROD-377</v>
      </c>
      <c r="B378" t="str">
        <f t="shared" si="21"/>
        <v>ABS Enclosure - Low Voltage 377</v>
      </c>
      <c r="C378" s="2">
        <f t="shared" si="22"/>
        <v>174</v>
      </c>
      <c r="D378" s="1">
        <f t="shared" si="23"/>
        <v>1196.2</v>
      </c>
    </row>
    <row r="379" spans="1:4" x14ac:dyDescent="0.3">
      <c r="A379" t="str">
        <f t="shared" si="20"/>
        <v>PROD-378</v>
      </c>
      <c r="B379" t="str">
        <f t="shared" si="21"/>
        <v>Teflon Tape - Low Voltage 378</v>
      </c>
      <c r="C379" s="2">
        <f t="shared" si="22"/>
        <v>211</v>
      </c>
      <c r="D379" s="1">
        <f t="shared" si="23"/>
        <v>1209.9000000000001</v>
      </c>
    </row>
    <row r="380" spans="1:4" x14ac:dyDescent="0.3">
      <c r="A380" t="str">
        <f t="shared" si="20"/>
        <v>PROD-379</v>
      </c>
      <c r="B380" t="str">
        <f t="shared" si="21"/>
        <v>Steel Machine Screw - Low Voltage 379</v>
      </c>
      <c r="C380" s="2">
        <f t="shared" si="22"/>
        <v>248</v>
      </c>
      <c r="D380" s="1">
        <f t="shared" si="23"/>
        <v>1223.5999999999999</v>
      </c>
    </row>
    <row r="381" spans="1:4" x14ac:dyDescent="0.3">
      <c r="A381" t="str">
        <f t="shared" si="20"/>
        <v>PROD-380</v>
      </c>
      <c r="B381" t="str">
        <f t="shared" si="21"/>
        <v>Heat-Shrink Tubing - Low Voltage 380</v>
      </c>
      <c r="C381" s="2">
        <f t="shared" si="22"/>
        <v>285</v>
      </c>
      <c r="D381" s="1">
        <f t="shared" si="23"/>
        <v>1237.3</v>
      </c>
    </row>
    <row r="382" spans="1:4" x14ac:dyDescent="0.3">
      <c r="A382" t="str">
        <f t="shared" si="20"/>
        <v>PROD-381</v>
      </c>
      <c r="B382" t="str">
        <f t="shared" si="21"/>
        <v>Industrial Adhesive - Industrial Grade 381</v>
      </c>
      <c r="C382" s="2">
        <f t="shared" si="22"/>
        <v>322</v>
      </c>
      <c r="D382" s="1">
        <f t="shared" si="23"/>
        <v>1251</v>
      </c>
    </row>
    <row r="383" spans="1:4" x14ac:dyDescent="0.3">
      <c r="A383" t="str">
        <f t="shared" si="20"/>
        <v>PROD-382</v>
      </c>
      <c r="B383" t="str">
        <f t="shared" si="21"/>
        <v>Stainless Steel Bracket - Industrial Grade 382</v>
      </c>
      <c r="C383" s="2">
        <f t="shared" si="22"/>
        <v>359</v>
      </c>
      <c r="D383" s="1">
        <f t="shared" si="23"/>
        <v>1264.7</v>
      </c>
    </row>
    <row r="384" spans="1:4" x14ac:dyDescent="0.3">
      <c r="A384" t="str">
        <f t="shared" si="20"/>
        <v>PROD-383</v>
      </c>
      <c r="B384" t="str">
        <f t="shared" si="21"/>
        <v>Copper Terminal Lug - Industrial Grade 383</v>
      </c>
      <c r="C384" s="2">
        <f t="shared" si="22"/>
        <v>396</v>
      </c>
      <c r="D384" s="1">
        <f t="shared" si="23"/>
        <v>1278.4000000000001</v>
      </c>
    </row>
    <row r="385" spans="1:4" x14ac:dyDescent="0.3">
      <c r="A385" t="str">
        <f t="shared" si="20"/>
        <v>PROD-384</v>
      </c>
      <c r="B385" t="str">
        <f t="shared" si="21"/>
        <v>PVC Conduit - Industrial Grade 384</v>
      </c>
      <c r="C385" s="2">
        <f t="shared" si="22"/>
        <v>433</v>
      </c>
      <c r="D385" s="1">
        <f t="shared" si="23"/>
        <v>1292.0999999999999</v>
      </c>
    </row>
    <row r="386" spans="1:4" x14ac:dyDescent="0.3">
      <c r="A386" t="str">
        <f t="shared" ref="A386:A449" si="24">"PROD-"&amp;TEXT(ROW()-1,"000")</f>
        <v>PROD-385</v>
      </c>
      <c r="B386" t="str">
        <f t="shared" ref="B386:B449" si="25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385</v>
      </c>
      <c r="C386" s="2">
        <f t="shared" ref="C386:C449" si="26">MOD((ROW()-2)*37,491)+10</f>
        <v>470</v>
      </c>
      <c r="D386" s="1">
        <f t="shared" ref="D386:D449" si="27">ROUND(15+MOD((ROW()-2)*137,19850)/10,2)</f>
        <v>1305.8</v>
      </c>
    </row>
    <row r="387" spans="1:4" x14ac:dyDescent="0.3">
      <c r="A387" t="str">
        <f t="shared" si="24"/>
        <v>PROD-386</v>
      </c>
      <c r="B387" t="str">
        <f t="shared" si="25"/>
        <v>Aluminum Extrusion - Industrial Grade 386</v>
      </c>
      <c r="C387" s="2">
        <f t="shared" si="26"/>
        <v>16</v>
      </c>
      <c r="D387" s="1">
        <f t="shared" si="27"/>
        <v>1319.5</v>
      </c>
    </row>
    <row r="388" spans="1:4" x14ac:dyDescent="0.3">
      <c r="A388" t="str">
        <f t="shared" si="24"/>
        <v>PROD-387</v>
      </c>
      <c r="B388" t="str">
        <f t="shared" si="25"/>
        <v>Ceramic Insulator - Industrial Grade 387</v>
      </c>
      <c r="C388" s="2">
        <f t="shared" si="26"/>
        <v>53</v>
      </c>
      <c r="D388" s="1">
        <f t="shared" si="27"/>
        <v>1333.2</v>
      </c>
    </row>
    <row r="389" spans="1:4" x14ac:dyDescent="0.3">
      <c r="A389" t="str">
        <f t="shared" si="24"/>
        <v>PROD-388</v>
      </c>
      <c r="B389" t="str">
        <f t="shared" si="25"/>
        <v>Nylon Cable Tie - Industrial Grade 388</v>
      </c>
      <c r="C389" s="2">
        <f t="shared" si="26"/>
        <v>90</v>
      </c>
      <c r="D389" s="1">
        <f t="shared" si="27"/>
        <v>1346.9</v>
      </c>
    </row>
    <row r="390" spans="1:4" x14ac:dyDescent="0.3">
      <c r="A390" t="str">
        <f t="shared" si="24"/>
        <v>PROD-389</v>
      </c>
      <c r="B390" t="str">
        <f t="shared" si="25"/>
        <v>Brass Compression Fitting - Industrial Grade 389</v>
      </c>
      <c r="C390" s="2">
        <f t="shared" si="26"/>
        <v>127</v>
      </c>
      <c r="D390" s="1">
        <f t="shared" si="27"/>
        <v>1360.6</v>
      </c>
    </row>
    <row r="391" spans="1:4" x14ac:dyDescent="0.3">
      <c r="A391" t="str">
        <f t="shared" si="24"/>
        <v>PROD-390</v>
      </c>
      <c r="B391" t="str">
        <f t="shared" si="25"/>
        <v>Carbon Steel Washer - Industrial Grade 390</v>
      </c>
      <c r="C391" s="2">
        <f t="shared" si="26"/>
        <v>164</v>
      </c>
      <c r="D391" s="1">
        <f t="shared" si="27"/>
        <v>1374.3</v>
      </c>
    </row>
    <row r="392" spans="1:4" x14ac:dyDescent="0.3">
      <c r="A392" t="str">
        <f t="shared" si="24"/>
        <v>PROD-391</v>
      </c>
      <c r="B392" t="str">
        <f t="shared" si="25"/>
        <v>Silicone Sealant - Industrial Grade 391</v>
      </c>
      <c r="C392" s="2">
        <f t="shared" si="26"/>
        <v>201</v>
      </c>
      <c r="D392" s="1">
        <f t="shared" si="27"/>
        <v>1388</v>
      </c>
    </row>
    <row r="393" spans="1:4" x14ac:dyDescent="0.3">
      <c r="A393" t="str">
        <f t="shared" si="24"/>
        <v>PROD-392</v>
      </c>
      <c r="B393" t="str">
        <f t="shared" si="25"/>
        <v>Fiberglass Sleeve - Industrial Grade 392</v>
      </c>
      <c r="C393" s="2">
        <f t="shared" si="26"/>
        <v>238</v>
      </c>
      <c r="D393" s="1">
        <f t="shared" si="27"/>
        <v>1401.7</v>
      </c>
    </row>
    <row r="394" spans="1:4" x14ac:dyDescent="0.3">
      <c r="A394" t="str">
        <f t="shared" si="24"/>
        <v>PROD-393</v>
      </c>
      <c r="B394" t="str">
        <f t="shared" si="25"/>
        <v>Polycarbonate Panel - Industrial Grade 393</v>
      </c>
      <c r="C394" s="2">
        <f t="shared" si="26"/>
        <v>275</v>
      </c>
      <c r="D394" s="1">
        <f t="shared" si="27"/>
        <v>1415.4</v>
      </c>
    </row>
    <row r="395" spans="1:4" x14ac:dyDescent="0.3">
      <c r="A395" t="str">
        <f t="shared" si="24"/>
        <v>PROD-394</v>
      </c>
      <c r="B395" t="str">
        <f t="shared" si="25"/>
        <v>Galvanized U-Bolt - Industrial Grade 394</v>
      </c>
      <c r="C395" s="2">
        <f t="shared" si="26"/>
        <v>312</v>
      </c>
      <c r="D395" s="1">
        <f t="shared" si="27"/>
        <v>1429.1</v>
      </c>
    </row>
    <row r="396" spans="1:4" x14ac:dyDescent="0.3">
      <c r="A396" t="str">
        <f t="shared" si="24"/>
        <v>PROD-395</v>
      </c>
      <c r="B396" t="str">
        <f t="shared" si="25"/>
        <v>Neoprene Gasket - Industrial Grade 395</v>
      </c>
      <c r="C396" s="2">
        <f t="shared" si="26"/>
        <v>349</v>
      </c>
      <c r="D396" s="1">
        <f t="shared" si="27"/>
        <v>1442.8</v>
      </c>
    </row>
    <row r="397" spans="1:4" x14ac:dyDescent="0.3">
      <c r="A397" t="str">
        <f t="shared" si="24"/>
        <v>PROD-396</v>
      </c>
      <c r="B397" t="str">
        <f t="shared" si="25"/>
        <v>Copper Busbar - Industrial Grade 396</v>
      </c>
      <c r="C397" s="2">
        <f t="shared" si="26"/>
        <v>386</v>
      </c>
      <c r="D397" s="1">
        <f t="shared" si="27"/>
        <v>1456.5</v>
      </c>
    </row>
    <row r="398" spans="1:4" x14ac:dyDescent="0.3">
      <c r="A398" t="str">
        <f t="shared" si="24"/>
        <v>PROD-397</v>
      </c>
      <c r="B398" t="str">
        <f t="shared" si="25"/>
        <v>ABS Enclosure - Industrial Grade 397</v>
      </c>
      <c r="C398" s="2">
        <f t="shared" si="26"/>
        <v>423</v>
      </c>
      <c r="D398" s="1">
        <f t="shared" si="27"/>
        <v>1470.2</v>
      </c>
    </row>
    <row r="399" spans="1:4" x14ac:dyDescent="0.3">
      <c r="A399" t="str">
        <f t="shared" si="24"/>
        <v>PROD-398</v>
      </c>
      <c r="B399" t="str">
        <f t="shared" si="25"/>
        <v>Teflon Tape - Industrial Grade 398</v>
      </c>
      <c r="C399" s="2">
        <f t="shared" si="26"/>
        <v>460</v>
      </c>
      <c r="D399" s="1">
        <f t="shared" si="27"/>
        <v>1483.9</v>
      </c>
    </row>
    <row r="400" spans="1:4" x14ac:dyDescent="0.3">
      <c r="A400" t="str">
        <f t="shared" si="24"/>
        <v>PROD-399</v>
      </c>
      <c r="B400" t="str">
        <f t="shared" si="25"/>
        <v>Steel Machine Screw - Industrial Grade 399</v>
      </c>
      <c r="C400" s="2">
        <f t="shared" si="26"/>
        <v>497</v>
      </c>
      <c r="D400" s="1">
        <f t="shared" si="27"/>
        <v>1497.6</v>
      </c>
    </row>
    <row r="401" spans="1:4" x14ac:dyDescent="0.3">
      <c r="A401" t="str">
        <f t="shared" si="24"/>
        <v>PROD-400</v>
      </c>
      <c r="B401" t="str">
        <f t="shared" si="25"/>
        <v>Heat-Shrink Tubing - Industrial Grade 400</v>
      </c>
      <c r="C401" s="2">
        <f t="shared" si="26"/>
        <v>43</v>
      </c>
      <c r="D401" s="1">
        <f t="shared" si="27"/>
        <v>1511.3</v>
      </c>
    </row>
    <row r="402" spans="1:4" x14ac:dyDescent="0.3">
      <c r="A402" t="str">
        <f t="shared" si="24"/>
        <v>PROD-401</v>
      </c>
      <c r="B402" t="str">
        <f t="shared" si="25"/>
        <v>Industrial Adhesive - Light Duty 401</v>
      </c>
      <c r="C402" s="2">
        <f t="shared" si="26"/>
        <v>80</v>
      </c>
      <c r="D402" s="1">
        <f t="shared" si="27"/>
        <v>1525</v>
      </c>
    </row>
    <row r="403" spans="1:4" x14ac:dyDescent="0.3">
      <c r="A403" t="str">
        <f t="shared" si="24"/>
        <v>PROD-402</v>
      </c>
      <c r="B403" t="str">
        <f t="shared" si="25"/>
        <v>Stainless Steel Bracket - Light Duty 402</v>
      </c>
      <c r="C403" s="2">
        <f t="shared" si="26"/>
        <v>117</v>
      </c>
      <c r="D403" s="1">
        <f t="shared" si="27"/>
        <v>1538.7</v>
      </c>
    </row>
    <row r="404" spans="1:4" x14ac:dyDescent="0.3">
      <c r="A404" t="str">
        <f t="shared" si="24"/>
        <v>PROD-403</v>
      </c>
      <c r="B404" t="str">
        <f t="shared" si="25"/>
        <v>Copper Terminal Lug - Light Duty 403</v>
      </c>
      <c r="C404" s="2">
        <f t="shared" si="26"/>
        <v>154</v>
      </c>
      <c r="D404" s="1">
        <f t="shared" si="27"/>
        <v>1552.4</v>
      </c>
    </row>
    <row r="405" spans="1:4" x14ac:dyDescent="0.3">
      <c r="A405" t="str">
        <f t="shared" si="24"/>
        <v>PROD-404</v>
      </c>
      <c r="B405" t="str">
        <f t="shared" si="25"/>
        <v>PVC Conduit - Light Duty 404</v>
      </c>
      <c r="C405" s="2">
        <f t="shared" si="26"/>
        <v>191</v>
      </c>
      <c r="D405" s="1">
        <f t="shared" si="27"/>
        <v>1566.1</v>
      </c>
    </row>
    <row r="406" spans="1:4" x14ac:dyDescent="0.3">
      <c r="A406" t="str">
        <f t="shared" si="24"/>
        <v>PROD-405</v>
      </c>
      <c r="B406" t="str">
        <f t="shared" si="25"/>
        <v>Rubber O-Ring - Light Duty 405</v>
      </c>
      <c r="C406" s="2">
        <f t="shared" si="26"/>
        <v>228</v>
      </c>
      <c r="D406" s="1">
        <f t="shared" si="27"/>
        <v>1579.8</v>
      </c>
    </row>
    <row r="407" spans="1:4" x14ac:dyDescent="0.3">
      <c r="A407" t="str">
        <f t="shared" si="24"/>
        <v>PROD-406</v>
      </c>
      <c r="B407" t="str">
        <f t="shared" si="25"/>
        <v>Aluminum Extrusion - Light Duty 406</v>
      </c>
      <c r="C407" s="2">
        <f t="shared" si="26"/>
        <v>265</v>
      </c>
      <c r="D407" s="1">
        <f t="shared" si="27"/>
        <v>1593.5</v>
      </c>
    </row>
    <row r="408" spans="1:4" x14ac:dyDescent="0.3">
      <c r="A408" t="str">
        <f t="shared" si="24"/>
        <v>PROD-407</v>
      </c>
      <c r="B408" t="str">
        <f t="shared" si="25"/>
        <v>Ceramic Insulator - Light Duty 407</v>
      </c>
      <c r="C408" s="2">
        <f t="shared" si="26"/>
        <v>302</v>
      </c>
      <c r="D408" s="1">
        <f t="shared" si="27"/>
        <v>1607.2</v>
      </c>
    </row>
    <row r="409" spans="1:4" x14ac:dyDescent="0.3">
      <c r="A409" t="str">
        <f t="shared" si="24"/>
        <v>PROD-408</v>
      </c>
      <c r="B409" t="str">
        <f t="shared" si="25"/>
        <v>Nylon Cable Tie - Light Duty 408</v>
      </c>
      <c r="C409" s="2">
        <f t="shared" si="26"/>
        <v>339</v>
      </c>
      <c r="D409" s="1">
        <f t="shared" si="27"/>
        <v>1620.9</v>
      </c>
    </row>
    <row r="410" spans="1:4" x14ac:dyDescent="0.3">
      <c r="A410" t="str">
        <f t="shared" si="24"/>
        <v>PROD-409</v>
      </c>
      <c r="B410" t="str">
        <f t="shared" si="25"/>
        <v>Brass Compression Fitting - Light Duty 409</v>
      </c>
      <c r="C410" s="2">
        <f t="shared" si="26"/>
        <v>376</v>
      </c>
      <c r="D410" s="1">
        <f t="shared" si="27"/>
        <v>1634.6</v>
      </c>
    </row>
    <row r="411" spans="1:4" x14ac:dyDescent="0.3">
      <c r="A411" t="str">
        <f t="shared" si="24"/>
        <v>PROD-410</v>
      </c>
      <c r="B411" t="str">
        <f t="shared" si="25"/>
        <v>Carbon Steel Washer - Light Duty 410</v>
      </c>
      <c r="C411" s="2">
        <f t="shared" si="26"/>
        <v>413</v>
      </c>
      <c r="D411" s="1">
        <f t="shared" si="27"/>
        <v>1648.3</v>
      </c>
    </row>
    <row r="412" spans="1:4" x14ac:dyDescent="0.3">
      <c r="A412" t="str">
        <f t="shared" si="24"/>
        <v>PROD-411</v>
      </c>
      <c r="B412" t="str">
        <f t="shared" si="25"/>
        <v>Silicone Sealant - Light Duty 411</v>
      </c>
      <c r="C412" s="2">
        <f t="shared" si="26"/>
        <v>450</v>
      </c>
      <c r="D412" s="1">
        <f t="shared" si="27"/>
        <v>1662</v>
      </c>
    </row>
    <row r="413" spans="1:4" x14ac:dyDescent="0.3">
      <c r="A413" t="str">
        <f t="shared" si="24"/>
        <v>PROD-412</v>
      </c>
      <c r="B413" t="str">
        <f t="shared" si="25"/>
        <v>Fiberglass Sleeve - Light Duty 412</v>
      </c>
      <c r="C413" s="2">
        <f t="shared" si="26"/>
        <v>487</v>
      </c>
      <c r="D413" s="1">
        <f t="shared" si="27"/>
        <v>1675.7</v>
      </c>
    </row>
    <row r="414" spans="1:4" x14ac:dyDescent="0.3">
      <c r="A414" t="str">
        <f t="shared" si="24"/>
        <v>PROD-413</v>
      </c>
      <c r="B414" t="str">
        <f t="shared" si="25"/>
        <v>Polycarbonate Panel - Light Duty 413</v>
      </c>
      <c r="C414" s="2">
        <f t="shared" si="26"/>
        <v>33</v>
      </c>
      <c r="D414" s="1">
        <f t="shared" si="27"/>
        <v>1689.4</v>
      </c>
    </row>
    <row r="415" spans="1:4" x14ac:dyDescent="0.3">
      <c r="A415" t="str">
        <f t="shared" si="24"/>
        <v>PROD-414</v>
      </c>
      <c r="B415" t="str">
        <f t="shared" si="25"/>
        <v>Galvanized U-Bolt - Light Duty 414</v>
      </c>
      <c r="C415" s="2">
        <f t="shared" si="26"/>
        <v>70</v>
      </c>
      <c r="D415" s="1">
        <f t="shared" si="27"/>
        <v>1703.1</v>
      </c>
    </row>
    <row r="416" spans="1:4" x14ac:dyDescent="0.3">
      <c r="A416" t="str">
        <f t="shared" si="24"/>
        <v>PROD-415</v>
      </c>
      <c r="B416" t="str">
        <f t="shared" si="25"/>
        <v>Neoprene Gasket - Light Duty 415</v>
      </c>
      <c r="C416" s="2">
        <f t="shared" si="26"/>
        <v>107</v>
      </c>
      <c r="D416" s="1">
        <f t="shared" si="27"/>
        <v>1716.8</v>
      </c>
    </row>
    <row r="417" spans="1:4" x14ac:dyDescent="0.3">
      <c r="A417" t="str">
        <f t="shared" si="24"/>
        <v>PROD-416</v>
      </c>
      <c r="B417" t="str">
        <f t="shared" si="25"/>
        <v>Copper Busbar - Light Duty 416</v>
      </c>
      <c r="C417" s="2">
        <f t="shared" si="26"/>
        <v>144</v>
      </c>
      <c r="D417" s="1">
        <f t="shared" si="27"/>
        <v>1730.5</v>
      </c>
    </row>
    <row r="418" spans="1:4" x14ac:dyDescent="0.3">
      <c r="A418" t="str">
        <f t="shared" si="24"/>
        <v>PROD-417</v>
      </c>
      <c r="B418" t="str">
        <f t="shared" si="25"/>
        <v>ABS Enclosure - Light Duty 417</v>
      </c>
      <c r="C418" s="2">
        <f t="shared" si="26"/>
        <v>181</v>
      </c>
      <c r="D418" s="1">
        <f t="shared" si="27"/>
        <v>1744.2</v>
      </c>
    </row>
    <row r="419" spans="1:4" x14ac:dyDescent="0.3">
      <c r="A419" t="str">
        <f t="shared" si="24"/>
        <v>PROD-418</v>
      </c>
      <c r="B419" t="str">
        <f t="shared" si="25"/>
        <v>Teflon Tape - Light Duty 418</v>
      </c>
      <c r="C419" s="2">
        <f t="shared" si="26"/>
        <v>218</v>
      </c>
      <c r="D419" s="1">
        <f t="shared" si="27"/>
        <v>1757.9</v>
      </c>
    </row>
    <row r="420" spans="1:4" x14ac:dyDescent="0.3">
      <c r="A420" t="str">
        <f t="shared" si="24"/>
        <v>PROD-419</v>
      </c>
      <c r="B420" t="str">
        <f t="shared" si="25"/>
        <v>Steel Machine Screw - Light Duty 419</v>
      </c>
      <c r="C420" s="2">
        <f t="shared" si="26"/>
        <v>255</v>
      </c>
      <c r="D420" s="1">
        <f t="shared" si="27"/>
        <v>1771.6</v>
      </c>
    </row>
    <row r="421" spans="1:4" x14ac:dyDescent="0.3">
      <c r="A421" t="str">
        <f t="shared" si="24"/>
        <v>PROD-420</v>
      </c>
      <c r="B421" t="str">
        <f t="shared" si="25"/>
        <v>Heat-Shrink Tubing - Light Duty 420</v>
      </c>
      <c r="C421" s="2">
        <f t="shared" si="26"/>
        <v>292</v>
      </c>
      <c r="D421" s="1">
        <f t="shared" si="27"/>
        <v>1785.3</v>
      </c>
    </row>
    <row r="422" spans="1:4" x14ac:dyDescent="0.3">
      <c r="A422" t="str">
        <f t="shared" si="24"/>
        <v>PROD-421</v>
      </c>
      <c r="B422" t="str">
        <f t="shared" si="25"/>
        <v>Industrial Adhesive - Standard Grade 421</v>
      </c>
      <c r="C422" s="2">
        <f t="shared" si="26"/>
        <v>329</v>
      </c>
      <c r="D422" s="1">
        <f t="shared" si="27"/>
        <v>1799</v>
      </c>
    </row>
    <row r="423" spans="1:4" x14ac:dyDescent="0.3">
      <c r="A423" t="str">
        <f t="shared" si="24"/>
        <v>PROD-422</v>
      </c>
      <c r="B423" t="str">
        <f t="shared" si="25"/>
        <v>Stainless Steel Bracket - Standard Grade 422</v>
      </c>
      <c r="C423" s="2">
        <f t="shared" si="26"/>
        <v>366</v>
      </c>
      <c r="D423" s="1">
        <f t="shared" si="27"/>
        <v>1812.7</v>
      </c>
    </row>
    <row r="424" spans="1:4" x14ac:dyDescent="0.3">
      <c r="A424" t="str">
        <f t="shared" si="24"/>
        <v>PROD-423</v>
      </c>
      <c r="B424" t="str">
        <f t="shared" si="25"/>
        <v>Copper Terminal Lug - Standard Grade 423</v>
      </c>
      <c r="C424" s="2">
        <f t="shared" si="26"/>
        <v>403</v>
      </c>
      <c r="D424" s="1">
        <f t="shared" si="27"/>
        <v>1826.4</v>
      </c>
    </row>
    <row r="425" spans="1:4" x14ac:dyDescent="0.3">
      <c r="A425" t="str">
        <f t="shared" si="24"/>
        <v>PROD-424</v>
      </c>
      <c r="B425" t="str">
        <f t="shared" si="25"/>
        <v>PVC Conduit - Standard Grade 424</v>
      </c>
      <c r="C425" s="2">
        <f t="shared" si="26"/>
        <v>440</v>
      </c>
      <c r="D425" s="1">
        <f t="shared" si="27"/>
        <v>1840.1</v>
      </c>
    </row>
    <row r="426" spans="1:4" x14ac:dyDescent="0.3">
      <c r="A426" t="str">
        <f t="shared" si="24"/>
        <v>PROD-425</v>
      </c>
      <c r="B426" t="str">
        <f t="shared" si="25"/>
        <v>Rubber O-Ring - Standard Grade 425</v>
      </c>
      <c r="C426" s="2">
        <f t="shared" si="26"/>
        <v>477</v>
      </c>
      <c r="D426" s="1">
        <f t="shared" si="27"/>
        <v>1853.8</v>
      </c>
    </row>
    <row r="427" spans="1:4" x14ac:dyDescent="0.3">
      <c r="A427" t="str">
        <f t="shared" si="24"/>
        <v>PROD-426</v>
      </c>
      <c r="B427" t="str">
        <f t="shared" si="25"/>
        <v>Aluminum Extrusion - Standard Grade 426</v>
      </c>
      <c r="C427" s="2">
        <f t="shared" si="26"/>
        <v>23</v>
      </c>
      <c r="D427" s="1">
        <f t="shared" si="27"/>
        <v>1867.5</v>
      </c>
    </row>
    <row r="428" spans="1:4" x14ac:dyDescent="0.3">
      <c r="A428" t="str">
        <f t="shared" si="24"/>
        <v>PROD-427</v>
      </c>
      <c r="B428" t="str">
        <f t="shared" si="25"/>
        <v>Ceramic Insulator - Standard Grade 427</v>
      </c>
      <c r="C428" s="2">
        <f t="shared" si="26"/>
        <v>60</v>
      </c>
      <c r="D428" s="1">
        <f t="shared" si="27"/>
        <v>1881.2</v>
      </c>
    </row>
    <row r="429" spans="1:4" x14ac:dyDescent="0.3">
      <c r="A429" t="str">
        <f t="shared" si="24"/>
        <v>PROD-428</v>
      </c>
      <c r="B429" t="str">
        <f t="shared" si="25"/>
        <v>Nylon Cable Tie - Standard Grade 428</v>
      </c>
      <c r="C429" s="2">
        <f t="shared" si="26"/>
        <v>97</v>
      </c>
      <c r="D429" s="1">
        <f t="shared" si="27"/>
        <v>1894.9</v>
      </c>
    </row>
    <row r="430" spans="1:4" x14ac:dyDescent="0.3">
      <c r="A430" t="str">
        <f t="shared" si="24"/>
        <v>PROD-429</v>
      </c>
      <c r="B430" t="str">
        <f t="shared" si="25"/>
        <v>Brass Compression Fitting - Standard Grade 429</v>
      </c>
      <c r="C430" s="2">
        <f t="shared" si="26"/>
        <v>134</v>
      </c>
      <c r="D430" s="1">
        <f t="shared" si="27"/>
        <v>1908.6</v>
      </c>
    </row>
    <row r="431" spans="1:4" x14ac:dyDescent="0.3">
      <c r="A431" t="str">
        <f t="shared" si="24"/>
        <v>PROD-430</v>
      </c>
      <c r="B431" t="str">
        <f t="shared" si="25"/>
        <v>Carbon Steel Washer - Standard Grade 430</v>
      </c>
      <c r="C431" s="2">
        <f t="shared" si="26"/>
        <v>171</v>
      </c>
      <c r="D431" s="1">
        <f t="shared" si="27"/>
        <v>1922.3</v>
      </c>
    </row>
    <row r="432" spans="1:4" x14ac:dyDescent="0.3">
      <c r="A432" t="str">
        <f t="shared" si="24"/>
        <v>PROD-431</v>
      </c>
      <c r="B432" t="str">
        <f t="shared" si="25"/>
        <v>Silicone Sealant - Standard Grade 431</v>
      </c>
      <c r="C432" s="2">
        <f t="shared" si="26"/>
        <v>208</v>
      </c>
      <c r="D432" s="1">
        <f t="shared" si="27"/>
        <v>1936</v>
      </c>
    </row>
    <row r="433" spans="1:4" x14ac:dyDescent="0.3">
      <c r="A433" t="str">
        <f t="shared" si="24"/>
        <v>PROD-432</v>
      </c>
      <c r="B433" t="str">
        <f t="shared" si="25"/>
        <v>Fiberglass Sleeve - Standard Grade 432</v>
      </c>
      <c r="C433" s="2">
        <f t="shared" si="26"/>
        <v>245</v>
      </c>
      <c r="D433" s="1">
        <f t="shared" si="27"/>
        <v>1949.7</v>
      </c>
    </row>
    <row r="434" spans="1:4" x14ac:dyDescent="0.3">
      <c r="A434" t="str">
        <f t="shared" si="24"/>
        <v>PROD-433</v>
      </c>
      <c r="B434" t="str">
        <f t="shared" si="25"/>
        <v>Polycarbonate Panel - Standard Grade 433</v>
      </c>
      <c r="C434" s="2">
        <f t="shared" si="26"/>
        <v>282</v>
      </c>
      <c r="D434" s="1">
        <f t="shared" si="27"/>
        <v>1963.4</v>
      </c>
    </row>
    <row r="435" spans="1:4" x14ac:dyDescent="0.3">
      <c r="A435" t="str">
        <f t="shared" si="24"/>
        <v>PROD-434</v>
      </c>
      <c r="B435" t="str">
        <f t="shared" si="25"/>
        <v>Galvanized U-Bolt - Standard Grade 434</v>
      </c>
      <c r="C435" s="2">
        <f t="shared" si="26"/>
        <v>319</v>
      </c>
      <c r="D435" s="1">
        <f t="shared" si="27"/>
        <v>1977.1</v>
      </c>
    </row>
    <row r="436" spans="1:4" x14ac:dyDescent="0.3">
      <c r="A436" t="str">
        <f t="shared" si="24"/>
        <v>PROD-435</v>
      </c>
      <c r="B436" t="str">
        <f t="shared" si="25"/>
        <v>Neoprene Gasket - Standard Grade 435</v>
      </c>
      <c r="C436" s="2">
        <f t="shared" si="26"/>
        <v>356</v>
      </c>
      <c r="D436" s="1">
        <f t="shared" si="27"/>
        <v>1990.8</v>
      </c>
    </row>
    <row r="437" spans="1:4" x14ac:dyDescent="0.3">
      <c r="A437" t="str">
        <f t="shared" si="24"/>
        <v>PROD-436</v>
      </c>
      <c r="B437" t="str">
        <f t="shared" si="25"/>
        <v>Copper Busbar - Standard Grade 436</v>
      </c>
      <c r="C437" s="2">
        <f t="shared" si="26"/>
        <v>393</v>
      </c>
      <c r="D437" s="1">
        <f t="shared" si="27"/>
        <v>19.5</v>
      </c>
    </row>
    <row r="438" spans="1:4" x14ac:dyDescent="0.3">
      <c r="A438" t="str">
        <f t="shared" si="24"/>
        <v>PROD-437</v>
      </c>
      <c r="B438" t="str">
        <f t="shared" si="25"/>
        <v>ABS Enclosure - Standard Grade 437</v>
      </c>
      <c r="C438" s="2">
        <f t="shared" si="26"/>
        <v>430</v>
      </c>
      <c r="D438" s="1">
        <f t="shared" si="27"/>
        <v>33.200000000000003</v>
      </c>
    </row>
    <row r="439" spans="1:4" x14ac:dyDescent="0.3">
      <c r="A439" t="str">
        <f t="shared" si="24"/>
        <v>PROD-438</v>
      </c>
      <c r="B439" t="str">
        <f t="shared" si="25"/>
        <v>Teflon Tape - Standard Grade 438</v>
      </c>
      <c r="C439" s="2">
        <f t="shared" si="26"/>
        <v>467</v>
      </c>
      <c r="D439" s="1">
        <f t="shared" si="27"/>
        <v>46.9</v>
      </c>
    </row>
    <row r="440" spans="1:4" x14ac:dyDescent="0.3">
      <c r="A440" t="str">
        <f t="shared" si="24"/>
        <v>PROD-439</v>
      </c>
      <c r="B440" t="str">
        <f t="shared" si="25"/>
        <v>Steel Machine Screw - Standard Grade 439</v>
      </c>
      <c r="C440" s="2">
        <f t="shared" si="26"/>
        <v>13</v>
      </c>
      <c r="D440" s="1">
        <f t="shared" si="27"/>
        <v>60.6</v>
      </c>
    </row>
    <row r="441" spans="1:4" x14ac:dyDescent="0.3">
      <c r="A441" t="str">
        <f t="shared" si="24"/>
        <v>PROD-440</v>
      </c>
      <c r="B441" t="str">
        <f t="shared" si="25"/>
        <v>Heat-Shrink Tubing - Standard Grade 440</v>
      </c>
      <c r="C441" s="2">
        <f t="shared" si="26"/>
        <v>50</v>
      </c>
      <c r="D441" s="1">
        <f t="shared" si="27"/>
        <v>74.3</v>
      </c>
    </row>
    <row r="442" spans="1:4" x14ac:dyDescent="0.3">
      <c r="A442" t="str">
        <f t="shared" si="24"/>
        <v>PROD-441</v>
      </c>
      <c r="B442" t="str">
        <f t="shared" si="25"/>
        <v>Industrial Adhesive - Heavy Duty 441</v>
      </c>
      <c r="C442" s="2">
        <f t="shared" si="26"/>
        <v>87</v>
      </c>
      <c r="D442" s="1">
        <f t="shared" si="27"/>
        <v>88</v>
      </c>
    </row>
    <row r="443" spans="1:4" x14ac:dyDescent="0.3">
      <c r="A443" t="str">
        <f t="shared" si="24"/>
        <v>PROD-442</v>
      </c>
      <c r="B443" t="str">
        <f t="shared" si="25"/>
        <v>Stainless Steel Bracket - Heavy Duty 442</v>
      </c>
      <c r="C443" s="2">
        <f t="shared" si="26"/>
        <v>124</v>
      </c>
      <c r="D443" s="1">
        <f t="shared" si="27"/>
        <v>101.7</v>
      </c>
    </row>
    <row r="444" spans="1:4" x14ac:dyDescent="0.3">
      <c r="A444" t="str">
        <f t="shared" si="24"/>
        <v>PROD-443</v>
      </c>
      <c r="B444" t="str">
        <f t="shared" si="25"/>
        <v>Copper Terminal Lug - Heavy Duty 443</v>
      </c>
      <c r="C444" s="2">
        <f t="shared" si="26"/>
        <v>161</v>
      </c>
      <c r="D444" s="1">
        <f t="shared" si="27"/>
        <v>115.4</v>
      </c>
    </row>
    <row r="445" spans="1:4" x14ac:dyDescent="0.3">
      <c r="A445" t="str">
        <f t="shared" si="24"/>
        <v>PROD-444</v>
      </c>
      <c r="B445" t="str">
        <f t="shared" si="25"/>
        <v>PVC Conduit - Heavy Duty 444</v>
      </c>
      <c r="C445" s="2">
        <f t="shared" si="26"/>
        <v>198</v>
      </c>
      <c r="D445" s="1">
        <f t="shared" si="27"/>
        <v>129.1</v>
      </c>
    </row>
    <row r="446" spans="1:4" x14ac:dyDescent="0.3">
      <c r="A446" t="str">
        <f t="shared" si="24"/>
        <v>PROD-445</v>
      </c>
      <c r="B446" t="str">
        <f t="shared" si="25"/>
        <v>Rubber O-Ring - Heavy Duty 445</v>
      </c>
      <c r="C446" s="2">
        <f t="shared" si="26"/>
        <v>235</v>
      </c>
      <c r="D446" s="1">
        <f t="shared" si="27"/>
        <v>142.80000000000001</v>
      </c>
    </row>
    <row r="447" spans="1:4" x14ac:dyDescent="0.3">
      <c r="A447" t="str">
        <f t="shared" si="24"/>
        <v>PROD-446</v>
      </c>
      <c r="B447" t="str">
        <f t="shared" si="25"/>
        <v>Aluminum Extrusion - Heavy Duty 446</v>
      </c>
      <c r="C447" s="2">
        <f t="shared" si="26"/>
        <v>272</v>
      </c>
      <c r="D447" s="1">
        <f t="shared" si="27"/>
        <v>156.5</v>
      </c>
    </row>
    <row r="448" spans="1:4" x14ac:dyDescent="0.3">
      <c r="A448" t="str">
        <f t="shared" si="24"/>
        <v>PROD-447</v>
      </c>
      <c r="B448" t="str">
        <f t="shared" si="25"/>
        <v>Ceramic Insulator - Heavy Duty 447</v>
      </c>
      <c r="C448" s="2">
        <f t="shared" si="26"/>
        <v>309</v>
      </c>
      <c r="D448" s="1">
        <f t="shared" si="27"/>
        <v>170.2</v>
      </c>
    </row>
    <row r="449" spans="1:4" x14ac:dyDescent="0.3">
      <c r="A449" t="str">
        <f t="shared" si="24"/>
        <v>PROD-448</v>
      </c>
      <c r="B449" t="str">
        <f t="shared" si="25"/>
        <v>Nylon Cable Tie - Heavy Duty 448</v>
      </c>
      <c r="C449" s="2">
        <f t="shared" si="26"/>
        <v>346</v>
      </c>
      <c r="D449" s="1">
        <f t="shared" si="27"/>
        <v>183.9</v>
      </c>
    </row>
    <row r="450" spans="1:4" x14ac:dyDescent="0.3">
      <c r="A450" t="str">
        <f t="shared" ref="A450:A501" si="28">"PROD-"&amp;TEXT(ROW()-1,"000")</f>
        <v>PROD-449</v>
      </c>
      <c r="B450" t="str">
        <f t="shared" ref="B450:B501" si="29"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449</v>
      </c>
      <c r="C450" s="2">
        <f t="shared" ref="C450:C501" si="30">MOD((ROW()-2)*37,491)+10</f>
        <v>383</v>
      </c>
      <c r="D450" s="1">
        <f t="shared" ref="D450:D501" si="31">ROUND(15+MOD((ROW()-2)*137,19850)/10,2)</f>
        <v>197.6</v>
      </c>
    </row>
    <row r="451" spans="1:4" x14ac:dyDescent="0.3">
      <c r="A451" t="str">
        <f t="shared" si="28"/>
        <v>PROD-450</v>
      </c>
      <c r="B451" t="str">
        <f t="shared" si="29"/>
        <v>Carbon Steel Washer - Heavy Duty 450</v>
      </c>
      <c r="C451" s="2">
        <f t="shared" si="30"/>
        <v>420</v>
      </c>
      <c r="D451" s="1">
        <f t="shared" si="31"/>
        <v>211.3</v>
      </c>
    </row>
    <row r="452" spans="1:4" x14ac:dyDescent="0.3">
      <c r="A452" t="str">
        <f t="shared" si="28"/>
        <v>PROD-451</v>
      </c>
      <c r="B452" t="str">
        <f t="shared" si="29"/>
        <v>Silicone Sealant - Heavy Duty 451</v>
      </c>
      <c r="C452" s="2">
        <f t="shared" si="30"/>
        <v>457</v>
      </c>
      <c r="D452" s="1">
        <f t="shared" si="31"/>
        <v>225</v>
      </c>
    </row>
    <row r="453" spans="1:4" x14ac:dyDescent="0.3">
      <c r="A453" t="str">
        <f t="shared" si="28"/>
        <v>PROD-452</v>
      </c>
      <c r="B453" t="str">
        <f t="shared" si="29"/>
        <v>Fiberglass Sleeve - Heavy Duty 452</v>
      </c>
      <c r="C453" s="2">
        <f t="shared" si="30"/>
        <v>494</v>
      </c>
      <c r="D453" s="1">
        <f t="shared" si="31"/>
        <v>238.7</v>
      </c>
    </row>
    <row r="454" spans="1:4" x14ac:dyDescent="0.3">
      <c r="A454" t="str">
        <f t="shared" si="28"/>
        <v>PROD-453</v>
      </c>
      <c r="B454" t="str">
        <f t="shared" si="29"/>
        <v>Polycarbonate Panel - Heavy Duty 453</v>
      </c>
      <c r="C454" s="2">
        <f t="shared" si="30"/>
        <v>40</v>
      </c>
      <c r="D454" s="1">
        <f t="shared" si="31"/>
        <v>252.4</v>
      </c>
    </row>
    <row r="455" spans="1:4" x14ac:dyDescent="0.3">
      <c r="A455" t="str">
        <f t="shared" si="28"/>
        <v>PROD-454</v>
      </c>
      <c r="B455" t="str">
        <f t="shared" si="29"/>
        <v>Galvanized U-Bolt - Heavy Duty 454</v>
      </c>
      <c r="C455" s="2">
        <f t="shared" si="30"/>
        <v>77</v>
      </c>
      <c r="D455" s="1">
        <f t="shared" si="31"/>
        <v>266.10000000000002</v>
      </c>
    </row>
    <row r="456" spans="1:4" x14ac:dyDescent="0.3">
      <c r="A456" t="str">
        <f t="shared" si="28"/>
        <v>PROD-455</v>
      </c>
      <c r="B456" t="str">
        <f t="shared" si="29"/>
        <v>Neoprene Gasket - Heavy Duty 455</v>
      </c>
      <c r="C456" s="2">
        <f t="shared" si="30"/>
        <v>114</v>
      </c>
      <c r="D456" s="1">
        <f t="shared" si="31"/>
        <v>279.8</v>
      </c>
    </row>
    <row r="457" spans="1:4" x14ac:dyDescent="0.3">
      <c r="A457" t="str">
        <f t="shared" si="28"/>
        <v>PROD-456</v>
      </c>
      <c r="B457" t="str">
        <f t="shared" si="29"/>
        <v>Copper Busbar - Heavy Duty 456</v>
      </c>
      <c r="C457" s="2">
        <f t="shared" si="30"/>
        <v>151</v>
      </c>
      <c r="D457" s="1">
        <f t="shared" si="31"/>
        <v>293.5</v>
      </c>
    </row>
    <row r="458" spans="1:4" x14ac:dyDescent="0.3">
      <c r="A458" t="str">
        <f t="shared" si="28"/>
        <v>PROD-457</v>
      </c>
      <c r="B458" t="str">
        <f t="shared" si="29"/>
        <v>ABS Enclosure - Heavy Duty 457</v>
      </c>
      <c r="C458" s="2">
        <f t="shared" si="30"/>
        <v>188</v>
      </c>
      <c r="D458" s="1">
        <f t="shared" si="31"/>
        <v>307.2</v>
      </c>
    </row>
    <row r="459" spans="1:4" x14ac:dyDescent="0.3">
      <c r="A459" t="str">
        <f t="shared" si="28"/>
        <v>PROD-458</v>
      </c>
      <c r="B459" t="str">
        <f t="shared" si="29"/>
        <v>Teflon Tape - Heavy Duty 458</v>
      </c>
      <c r="C459" s="2">
        <f t="shared" si="30"/>
        <v>225</v>
      </c>
      <c r="D459" s="1">
        <f t="shared" si="31"/>
        <v>320.89999999999998</v>
      </c>
    </row>
    <row r="460" spans="1:4" x14ac:dyDescent="0.3">
      <c r="A460" t="str">
        <f t="shared" si="28"/>
        <v>PROD-459</v>
      </c>
      <c r="B460" t="str">
        <f t="shared" si="29"/>
        <v>Steel Machine Screw - Heavy Duty 459</v>
      </c>
      <c r="C460" s="2">
        <f t="shared" si="30"/>
        <v>262</v>
      </c>
      <c r="D460" s="1">
        <f t="shared" si="31"/>
        <v>334.6</v>
      </c>
    </row>
    <row r="461" spans="1:4" x14ac:dyDescent="0.3">
      <c r="A461" t="str">
        <f t="shared" si="28"/>
        <v>PROD-460</v>
      </c>
      <c r="B461" t="str">
        <f t="shared" si="29"/>
        <v>Heat-Shrink Tubing - Heavy Duty 460</v>
      </c>
      <c r="C461" s="2">
        <f t="shared" si="30"/>
        <v>299</v>
      </c>
      <c r="D461" s="1">
        <f t="shared" si="31"/>
        <v>348.3</v>
      </c>
    </row>
    <row r="462" spans="1:4" x14ac:dyDescent="0.3">
      <c r="A462" t="str">
        <f t="shared" si="28"/>
        <v>PROD-461</v>
      </c>
      <c r="B462" t="str">
        <f t="shared" si="29"/>
        <v>Industrial Adhesive - High Temperature 461</v>
      </c>
      <c r="C462" s="2">
        <f t="shared" si="30"/>
        <v>336</v>
      </c>
      <c r="D462" s="1">
        <f t="shared" si="31"/>
        <v>362</v>
      </c>
    </row>
    <row r="463" spans="1:4" x14ac:dyDescent="0.3">
      <c r="A463" t="str">
        <f t="shared" si="28"/>
        <v>PROD-462</v>
      </c>
      <c r="B463" t="str">
        <f t="shared" si="29"/>
        <v>Stainless Steel Bracket - High Temperature 462</v>
      </c>
      <c r="C463" s="2">
        <f t="shared" si="30"/>
        <v>373</v>
      </c>
      <c r="D463" s="1">
        <f t="shared" si="31"/>
        <v>375.7</v>
      </c>
    </row>
    <row r="464" spans="1:4" x14ac:dyDescent="0.3">
      <c r="A464" t="str">
        <f t="shared" si="28"/>
        <v>PROD-463</v>
      </c>
      <c r="B464" t="str">
        <f t="shared" si="29"/>
        <v>Copper Terminal Lug - High Temperature 463</v>
      </c>
      <c r="C464" s="2">
        <f t="shared" si="30"/>
        <v>410</v>
      </c>
      <c r="D464" s="1">
        <f t="shared" si="31"/>
        <v>389.4</v>
      </c>
    </row>
    <row r="465" spans="1:4" x14ac:dyDescent="0.3">
      <c r="A465" t="str">
        <f t="shared" si="28"/>
        <v>PROD-464</v>
      </c>
      <c r="B465" t="str">
        <f t="shared" si="29"/>
        <v>PVC Conduit - High Temperature 464</v>
      </c>
      <c r="C465" s="2">
        <f t="shared" si="30"/>
        <v>447</v>
      </c>
      <c r="D465" s="1">
        <f t="shared" si="31"/>
        <v>403.1</v>
      </c>
    </row>
    <row r="466" spans="1:4" x14ac:dyDescent="0.3">
      <c r="A466" t="str">
        <f t="shared" si="28"/>
        <v>PROD-465</v>
      </c>
      <c r="B466" t="str">
        <f t="shared" si="29"/>
        <v>Rubber O-Ring - High Temperature 465</v>
      </c>
      <c r="C466" s="2">
        <f t="shared" si="30"/>
        <v>484</v>
      </c>
      <c r="D466" s="1">
        <f t="shared" si="31"/>
        <v>416.8</v>
      </c>
    </row>
    <row r="467" spans="1:4" x14ac:dyDescent="0.3">
      <c r="A467" t="str">
        <f t="shared" si="28"/>
        <v>PROD-466</v>
      </c>
      <c r="B467" t="str">
        <f t="shared" si="29"/>
        <v>Aluminum Extrusion - High Temperature 466</v>
      </c>
      <c r="C467" s="2">
        <f t="shared" si="30"/>
        <v>30</v>
      </c>
      <c r="D467" s="1">
        <f t="shared" si="31"/>
        <v>430.5</v>
      </c>
    </row>
    <row r="468" spans="1:4" x14ac:dyDescent="0.3">
      <c r="A468" t="str">
        <f t="shared" si="28"/>
        <v>PROD-467</v>
      </c>
      <c r="B468" t="str">
        <f t="shared" si="29"/>
        <v>Ceramic Insulator - High Temperature 467</v>
      </c>
      <c r="C468" s="2">
        <f t="shared" si="30"/>
        <v>67</v>
      </c>
      <c r="D468" s="1">
        <f t="shared" si="31"/>
        <v>444.2</v>
      </c>
    </row>
    <row r="469" spans="1:4" x14ac:dyDescent="0.3">
      <c r="A469" t="str">
        <f t="shared" si="28"/>
        <v>PROD-468</v>
      </c>
      <c r="B469" t="str">
        <f t="shared" si="29"/>
        <v>Nylon Cable Tie - High Temperature 468</v>
      </c>
      <c r="C469" s="2">
        <f t="shared" si="30"/>
        <v>104</v>
      </c>
      <c r="D469" s="1">
        <f t="shared" si="31"/>
        <v>457.9</v>
      </c>
    </row>
    <row r="470" spans="1:4" x14ac:dyDescent="0.3">
      <c r="A470" t="str">
        <f t="shared" si="28"/>
        <v>PROD-469</v>
      </c>
      <c r="B470" t="str">
        <f t="shared" si="29"/>
        <v>Brass Compression Fitting - High Temperature 469</v>
      </c>
      <c r="C470" s="2">
        <f t="shared" si="30"/>
        <v>141</v>
      </c>
      <c r="D470" s="1">
        <f t="shared" si="31"/>
        <v>471.6</v>
      </c>
    </row>
    <row r="471" spans="1:4" x14ac:dyDescent="0.3">
      <c r="A471" t="str">
        <f t="shared" si="28"/>
        <v>PROD-470</v>
      </c>
      <c r="B471" t="str">
        <f t="shared" si="29"/>
        <v>Carbon Steel Washer - High Temperature 470</v>
      </c>
      <c r="C471" s="2">
        <f t="shared" si="30"/>
        <v>178</v>
      </c>
      <c r="D471" s="1">
        <f t="shared" si="31"/>
        <v>485.3</v>
      </c>
    </row>
    <row r="472" spans="1:4" x14ac:dyDescent="0.3">
      <c r="A472" t="str">
        <f t="shared" si="28"/>
        <v>PROD-471</v>
      </c>
      <c r="B472" t="str">
        <f t="shared" si="29"/>
        <v>Silicone Sealant - High Temperature 471</v>
      </c>
      <c r="C472" s="2">
        <f t="shared" si="30"/>
        <v>215</v>
      </c>
      <c r="D472" s="1">
        <f t="shared" si="31"/>
        <v>499</v>
      </c>
    </row>
    <row r="473" spans="1:4" x14ac:dyDescent="0.3">
      <c r="A473" t="str">
        <f t="shared" si="28"/>
        <v>PROD-472</v>
      </c>
      <c r="B473" t="str">
        <f t="shared" si="29"/>
        <v>Fiberglass Sleeve - High Temperature 472</v>
      </c>
      <c r="C473" s="2">
        <f t="shared" si="30"/>
        <v>252</v>
      </c>
      <c r="D473" s="1">
        <f t="shared" si="31"/>
        <v>512.70000000000005</v>
      </c>
    </row>
    <row r="474" spans="1:4" x14ac:dyDescent="0.3">
      <c r="A474" t="str">
        <f t="shared" si="28"/>
        <v>PROD-473</v>
      </c>
      <c r="B474" t="str">
        <f t="shared" si="29"/>
        <v>Polycarbonate Panel - High Temperature 473</v>
      </c>
      <c r="C474" s="2">
        <f t="shared" si="30"/>
        <v>289</v>
      </c>
      <c r="D474" s="1">
        <f t="shared" si="31"/>
        <v>526.4</v>
      </c>
    </row>
    <row r="475" spans="1:4" x14ac:dyDescent="0.3">
      <c r="A475" t="str">
        <f t="shared" si="28"/>
        <v>PROD-474</v>
      </c>
      <c r="B475" t="str">
        <f t="shared" si="29"/>
        <v>Galvanized U-Bolt - High Temperature 474</v>
      </c>
      <c r="C475" s="2">
        <f t="shared" si="30"/>
        <v>326</v>
      </c>
      <c r="D475" s="1">
        <f t="shared" si="31"/>
        <v>540.1</v>
      </c>
    </row>
    <row r="476" spans="1:4" x14ac:dyDescent="0.3">
      <c r="A476" t="str">
        <f t="shared" si="28"/>
        <v>PROD-475</v>
      </c>
      <c r="B476" t="str">
        <f t="shared" si="29"/>
        <v>Neoprene Gasket - High Temperature 475</v>
      </c>
      <c r="C476" s="2">
        <f t="shared" si="30"/>
        <v>363</v>
      </c>
      <c r="D476" s="1">
        <f t="shared" si="31"/>
        <v>553.79999999999995</v>
      </c>
    </row>
    <row r="477" spans="1:4" x14ac:dyDescent="0.3">
      <c r="A477" t="str">
        <f t="shared" si="28"/>
        <v>PROD-476</v>
      </c>
      <c r="B477" t="str">
        <f t="shared" si="29"/>
        <v>Copper Busbar - High Temperature 476</v>
      </c>
      <c r="C477" s="2">
        <f t="shared" si="30"/>
        <v>400</v>
      </c>
      <c r="D477" s="1">
        <f t="shared" si="31"/>
        <v>567.5</v>
      </c>
    </row>
    <row r="478" spans="1:4" x14ac:dyDescent="0.3">
      <c r="A478" t="str">
        <f t="shared" si="28"/>
        <v>PROD-477</v>
      </c>
      <c r="B478" t="str">
        <f t="shared" si="29"/>
        <v>ABS Enclosure - High Temperature 477</v>
      </c>
      <c r="C478" s="2">
        <f t="shared" si="30"/>
        <v>437</v>
      </c>
      <c r="D478" s="1">
        <f t="shared" si="31"/>
        <v>581.20000000000005</v>
      </c>
    </row>
    <row r="479" spans="1:4" x14ac:dyDescent="0.3">
      <c r="A479" t="str">
        <f t="shared" si="28"/>
        <v>PROD-478</v>
      </c>
      <c r="B479" t="str">
        <f t="shared" si="29"/>
        <v>Teflon Tape - High Temperature 478</v>
      </c>
      <c r="C479" s="2">
        <f t="shared" si="30"/>
        <v>474</v>
      </c>
      <c r="D479" s="1">
        <f t="shared" si="31"/>
        <v>594.9</v>
      </c>
    </row>
    <row r="480" spans="1:4" x14ac:dyDescent="0.3">
      <c r="A480" t="str">
        <f t="shared" si="28"/>
        <v>PROD-479</v>
      </c>
      <c r="B480" t="str">
        <f t="shared" si="29"/>
        <v>Steel Machine Screw - High Temperature 479</v>
      </c>
      <c r="C480" s="2">
        <f t="shared" si="30"/>
        <v>20</v>
      </c>
      <c r="D480" s="1">
        <f t="shared" si="31"/>
        <v>608.6</v>
      </c>
    </row>
    <row r="481" spans="1:4" x14ac:dyDescent="0.3">
      <c r="A481" t="str">
        <f t="shared" si="28"/>
        <v>PROD-480</v>
      </c>
      <c r="B481" t="str">
        <f t="shared" si="29"/>
        <v>Heat-Shrink Tubing - High Temperature 480</v>
      </c>
      <c r="C481" s="2">
        <f t="shared" si="30"/>
        <v>57</v>
      </c>
      <c r="D481" s="1">
        <f t="shared" si="31"/>
        <v>622.29999999999995</v>
      </c>
    </row>
    <row r="482" spans="1:4" x14ac:dyDescent="0.3">
      <c r="A482" t="str">
        <f t="shared" si="28"/>
        <v>PROD-481</v>
      </c>
      <c r="B482" t="str">
        <f t="shared" si="29"/>
        <v>Industrial Adhesive - Corrosion Resistant 481</v>
      </c>
      <c r="C482" s="2">
        <f t="shared" si="30"/>
        <v>94</v>
      </c>
      <c r="D482" s="1">
        <f t="shared" si="31"/>
        <v>636</v>
      </c>
    </row>
    <row r="483" spans="1:4" x14ac:dyDescent="0.3">
      <c r="A483" t="str">
        <f t="shared" si="28"/>
        <v>PROD-482</v>
      </c>
      <c r="B483" t="str">
        <f t="shared" si="29"/>
        <v>Stainless Steel Bracket - Corrosion Resistant 482</v>
      </c>
      <c r="C483" s="2">
        <f t="shared" si="30"/>
        <v>131</v>
      </c>
      <c r="D483" s="1">
        <f t="shared" si="31"/>
        <v>649.70000000000005</v>
      </c>
    </row>
    <row r="484" spans="1:4" x14ac:dyDescent="0.3">
      <c r="A484" t="str">
        <f t="shared" si="28"/>
        <v>PROD-483</v>
      </c>
      <c r="B484" t="str">
        <f t="shared" si="29"/>
        <v>Copper Terminal Lug - Corrosion Resistant 483</v>
      </c>
      <c r="C484" s="2">
        <f t="shared" si="30"/>
        <v>168</v>
      </c>
      <c r="D484" s="1">
        <f t="shared" si="31"/>
        <v>663.4</v>
      </c>
    </row>
    <row r="485" spans="1:4" x14ac:dyDescent="0.3">
      <c r="A485" t="str">
        <f t="shared" si="28"/>
        <v>PROD-484</v>
      </c>
      <c r="B485" t="str">
        <f t="shared" si="29"/>
        <v>PVC Conduit - Corrosion Resistant 484</v>
      </c>
      <c r="C485" s="2">
        <f t="shared" si="30"/>
        <v>205</v>
      </c>
      <c r="D485" s="1">
        <f t="shared" si="31"/>
        <v>677.1</v>
      </c>
    </row>
    <row r="486" spans="1:4" x14ac:dyDescent="0.3">
      <c r="A486" t="str">
        <f t="shared" si="28"/>
        <v>PROD-485</v>
      </c>
      <c r="B486" t="str">
        <f t="shared" si="29"/>
        <v>Rubber O-Ring - Corrosion Resistant 485</v>
      </c>
      <c r="C486" s="2">
        <f t="shared" si="30"/>
        <v>242</v>
      </c>
      <c r="D486" s="1">
        <f t="shared" si="31"/>
        <v>690.8</v>
      </c>
    </row>
    <row r="487" spans="1:4" x14ac:dyDescent="0.3">
      <c r="A487" t="str">
        <f t="shared" si="28"/>
        <v>PROD-486</v>
      </c>
      <c r="B487" t="str">
        <f t="shared" si="29"/>
        <v>Aluminum Extrusion - Corrosion Resistant 486</v>
      </c>
      <c r="C487" s="2">
        <f t="shared" si="30"/>
        <v>279</v>
      </c>
      <c r="D487" s="1">
        <f t="shared" si="31"/>
        <v>704.5</v>
      </c>
    </row>
    <row r="488" spans="1:4" x14ac:dyDescent="0.3">
      <c r="A488" t="str">
        <f t="shared" si="28"/>
        <v>PROD-487</v>
      </c>
      <c r="B488" t="str">
        <f t="shared" si="29"/>
        <v>Ceramic Insulator - Corrosion Resistant 487</v>
      </c>
      <c r="C488" s="2">
        <f t="shared" si="30"/>
        <v>316</v>
      </c>
      <c r="D488" s="1">
        <f t="shared" si="31"/>
        <v>718.2</v>
      </c>
    </row>
    <row r="489" spans="1:4" x14ac:dyDescent="0.3">
      <c r="A489" t="str">
        <f t="shared" si="28"/>
        <v>PROD-488</v>
      </c>
      <c r="B489" t="str">
        <f t="shared" si="29"/>
        <v>Nylon Cable Tie - Corrosion Resistant 488</v>
      </c>
      <c r="C489" s="2">
        <f t="shared" si="30"/>
        <v>353</v>
      </c>
      <c r="D489" s="1">
        <f t="shared" si="31"/>
        <v>731.9</v>
      </c>
    </row>
    <row r="490" spans="1:4" x14ac:dyDescent="0.3">
      <c r="A490" t="str">
        <f t="shared" si="28"/>
        <v>PROD-489</v>
      </c>
      <c r="B490" t="str">
        <f t="shared" si="29"/>
        <v>Brass Compression Fitting - Corrosion Resistant 489</v>
      </c>
      <c r="C490" s="2">
        <f t="shared" si="30"/>
        <v>390</v>
      </c>
      <c r="D490" s="1">
        <f t="shared" si="31"/>
        <v>745.6</v>
      </c>
    </row>
    <row r="491" spans="1:4" x14ac:dyDescent="0.3">
      <c r="A491" t="str">
        <f t="shared" si="28"/>
        <v>PROD-490</v>
      </c>
      <c r="B491" t="str">
        <f t="shared" si="29"/>
        <v>Carbon Steel Washer - Corrosion Resistant 490</v>
      </c>
      <c r="C491" s="2">
        <f t="shared" si="30"/>
        <v>427</v>
      </c>
      <c r="D491" s="1">
        <f t="shared" si="31"/>
        <v>759.3</v>
      </c>
    </row>
    <row r="492" spans="1:4" x14ac:dyDescent="0.3">
      <c r="A492" t="str">
        <f t="shared" si="28"/>
        <v>PROD-491</v>
      </c>
      <c r="B492" t="str">
        <f t="shared" si="29"/>
        <v>Silicone Sealant - Corrosion Resistant 491</v>
      </c>
      <c r="C492" s="2">
        <f t="shared" si="30"/>
        <v>464</v>
      </c>
      <c r="D492" s="1">
        <f t="shared" si="31"/>
        <v>773</v>
      </c>
    </row>
    <row r="493" spans="1:4" x14ac:dyDescent="0.3">
      <c r="A493" t="str">
        <f t="shared" si="28"/>
        <v>PROD-492</v>
      </c>
      <c r="B493" t="str">
        <f t="shared" si="29"/>
        <v>Fiberglass Sleeve - Corrosion Resistant 492</v>
      </c>
      <c r="C493" s="2">
        <f t="shared" si="30"/>
        <v>10</v>
      </c>
      <c r="D493" s="1">
        <f t="shared" si="31"/>
        <v>786.7</v>
      </c>
    </row>
    <row r="494" spans="1:4" x14ac:dyDescent="0.3">
      <c r="A494" t="str">
        <f t="shared" si="28"/>
        <v>PROD-493</v>
      </c>
      <c r="B494" t="str">
        <f t="shared" si="29"/>
        <v>Polycarbonate Panel - Corrosion Resistant 493</v>
      </c>
      <c r="C494" s="2">
        <f t="shared" si="30"/>
        <v>47</v>
      </c>
      <c r="D494" s="1">
        <f t="shared" si="31"/>
        <v>800.4</v>
      </c>
    </row>
    <row r="495" spans="1:4" x14ac:dyDescent="0.3">
      <c r="A495" t="str">
        <f t="shared" si="28"/>
        <v>PROD-494</v>
      </c>
      <c r="B495" t="str">
        <f t="shared" si="29"/>
        <v>Galvanized U-Bolt - Corrosion Resistant 494</v>
      </c>
      <c r="C495" s="2">
        <f t="shared" si="30"/>
        <v>84</v>
      </c>
      <c r="D495" s="1">
        <f t="shared" si="31"/>
        <v>814.1</v>
      </c>
    </row>
    <row r="496" spans="1:4" x14ac:dyDescent="0.3">
      <c r="A496" t="str">
        <f t="shared" si="28"/>
        <v>PROD-495</v>
      </c>
      <c r="B496" t="str">
        <f t="shared" si="29"/>
        <v>Neoprene Gasket - Corrosion Resistant 495</v>
      </c>
      <c r="C496" s="2">
        <f t="shared" si="30"/>
        <v>121</v>
      </c>
      <c r="D496" s="1">
        <f t="shared" si="31"/>
        <v>827.8</v>
      </c>
    </row>
    <row r="497" spans="1:4" x14ac:dyDescent="0.3">
      <c r="A497" t="str">
        <f t="shared" si="28"/>
        <v>PROD-496</v>
      </c>
      <c r="B497" t="str">
        <f t="shared" si="29"/>
        <v>Copper Busbar - Corrosion Resistant 496</v>
      </c>
      <c r="C497" s="2">
        <f t="shared" si="30"/>
        <v>158</v>
      </c>
      <c r="D497" s="1">
        <f t="shared" si="31"/>
        <v>841.5</v>
      </c>
    </row>
    <row r="498" spans="1:4" x14ac:dyDescent="0.3">
      <c r="A498" t="str">
        <f t="shared" si="28"/>
        <v>PROD-497</v>
      </c>
      <c r="B498" t="str">
        <f t="shared" si="29"/>
        <v>ABS Enclosure - Corrosion Resistant 497</v>
      </c>
      <c r="C498" s="2">
        <f t="shared" si="30"/>
        <v>195</v>
      </c>
      <c r="D498" s="1">
        <f t="shared" si="31"/>
        <v>855.2</v>
      </c>
    </row>
    <row r="499" spans="1:4" x14ac:dyDescent="0.3">
      <c r="A499" t="str">
        <f t="shared" si="28"/>
        <v>PROD-498</v>
      </c>
      <c r="B499" t="str">
        <f t="shared" si="29"/>
        <v>Teflon Tape - Corrosion Resistant 498</v>
      </c>
      <c r="C499" s="2">
        <f t="shared" si="30"/>
        <v>232</v>
      </c>
      <c r="D499" s="1">
        <f t="shared" si="31"/>
        <v>868.9</v>
      </c>
    </row>
    <row r="500" spans="1:4" x14ac:dyDescent="0.3">
      <c r="A500" t="str">
        <f t="shared" si="28"/>
        <v>PROD-499</v>
      </c>
      <c r="B500" t="str">
        <f t="shared" si="29"/>
        <v>Steel Machine Screw - Corrosion Resistant 499</v>
      </c>
      <c r="C500" s="2">
        <f t="shared" si="30"/>
        <v>269</v>
      </c>
      <c r="D500" s="1">
        <f t="shared" si="31"/>
        <v>882.6</v>
      </c>
    </row>
    <row r="501" spans="1:4" x14ac:dyDescent="0.3">
      <c r="A501" t="str">
        <f t="shared" si="28"/>
        <v>PROD-500</v>
      </c>
      <c r="B501" t="str">
        <f t="shared" si="29"/>
        <v>Heat-Shrink Tubing - Corrosion Resistant 500</v>
      </c>
      <c r="C501" s="2">
        <f t="shared" si="30"/>
        <v>306</v>
      </c>
      <c r="D501" s="1">
        <f t="shared" si="31"/>
        <v>896.3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C0B6-A0BE-4BF3-B52F-FF9925953714}">
  <dimension ref="A1:F501"/>
  <sheetViews>
    <sheetView tabSelected="1" workbookViewId="0">
      <selection activeCell="D34" sqref="D34"/>
    </sheetView>
  </sheetViews>
  <sheetFormatPr defaultRowHeight="14.4" x14ac:dyDescent="0.3"/>
  <cols>
    <col min="1" max="2" width="15.77734375" customWidth="1"/>
    <col min="3" max="3" width="47.21875" customWidth="1"/>
    <col min="4" max="4" width="15.77734375" customWidth="1"/>
    <col min="5" max="5" width="17.5546875" customWidth="1"/>
    <col min="6" max="6" width="20.33203125" customWidth="1"/>
  </cols>
  <sheetData>
    <row r="1" spans="1:6" x14ac:dyDescent="0.3">
      <c r="A1" s="4" t="s">
        <v>3</v>
      </c>
      <c r="B1" s="4" t="s">
        <v>1004</v>
      </c>
      <c r="C1" s="4" t="s">
        <v>2</v>
      </c>
      <c r="D1" s="4" t="s">
        <v>1</v>
      </c>
      <c r="E1" s="4" t="s">
        <v>1005</v>
      </c>
      <c r="F1" s="4" t="s">
        <v>1006</v>
      </c>
    </row>
    <row r="2" spans="1:6" x14ac:dyDescent="0.3">
      <c r="A2" s="4" t="s">
        <v>4</v>
      </c>
      <c r="B2" s="5">
        <v>46026</v>
      </c>
      <c r="C2" s="4" t="s">
        <v>5</v>
      </c>
      <c r="D2" s="6">
        <v>1</v>
      </c>
      <c r="E2" s="7">
        <v>15.6</v>
      </c>
      <c r="F2" s="7">
        <v>15.6</v>
      </c>
    </row>
    <row r="3" spans="1:6" x14ac:dyDescent="0.3">
      <c r="A3" s="4" t="s">
        <v>6</v>
      </c>
      <c r="B3" s="5">
        <v>46064</v>
      </c>
      <c r="C3" s="4" t="s">
        <v>7</v>
      </c>
      <c r="D3" s="6">
        <v>16</v>
      </c>
      <c r="E3" s="7">
        <v>33.58</v>
      </c>
      <c r="F3" s="7">
        <v>537.28</v>
      </c>
    </row>
    <row r="4" spans="1:6" x14ac:dyDescent="0.3">
      <c r="A4" s="4" t="s">
        <v>8</v>
      </c>
      <c r="B4" s="5">
        <v>46099</v>
      </c>
      <c r="C4" s="4" t="s">
        <v>9</v>
      </c>
      <c r="D4" s="6">
        <v>43</v>
      </c>
      <c r="E4" s="7">
        <v>55.12</v>
      </c>
      <c r="F4" s="7">
        <v>2370.16</v>
      </c>
    </row>
    <row r="5" spans="1:6" x14ac:dyDescent="0.3">
      <c r="A5" s="4" t="s">
        <v>10</v>
      </c>
      <c r="B5" s="5">
        <v>46137</v>
      </c>
      <c r="C5" s="4" t="s">
        <v>11</v>
      </c>
      <c r="D5" s="6">
        <v>83</v>
      </c>
      <c r="E5" s="7">
        <v>62.27</v>
      </c>
      <c r="F5" s="7">
        <v>5168.41</v>
      </c>
    </row>
    <row r="6" spans="1:6" x14ac:dyDescent="0.3">
      <c r="A6" s="4" t="s">
        <v>12</v>
      </c>
      <c r="B6" s="5">
        <v>46143</v>
      </c>
      <c r="C6" s="4" t="s">
        <v>13</v>
      </c>
      <c r="D6" s="6">
        <v>36</v>
      </c>
      <c r="E6" s="7">
        <v>86.55</v>
      </c>
      <c r="F6" s="7">
        <v>3115.8</v>
      </c>
    </row>
    <row r="7" spans="1:6" x14ac:dyDescent="0.3">
      <c r="A7" s="4" t="s">
        <v>14</v>
      </c>
      <c r="B7" s="5">
        <v>46182</v>
      </c>
      <c r="C7" s="4" t="s">
        <v>15</v>
      </c>
      <c r="D7" s="6">
        <v>78</v>
      </c>
      <c r="E7" s="7">
        <v>87.68</v>
      </c>
      <c r="F7" s="7">
        <v>6839.04</v>
      </c>
    </row>
    <row r="8" spans="1:6" x14ac:dyDescent="0.3">
      <c r="A8" s="4" t="s">
        <v>16</v>
      </c>
      <c r="B8" s="5">
        <v>46218</v>
      </c>
      <c r="C8" s="4" t="s">
        <v>17</v>
      </c>
      <c r="D8" s="6">
        <v>132</v>
      </c>
      <c r="E8" s="7">
        <v>114.7</v>
      </c>
      <c r="F8" s="7">
        <v>15140.4</v>
      </c>
    </row>
    <row r="9" spans="1:6" x14ac:dyDescent="0.3">
      <c r="A9" s="4" t="s">
        <v>18</v>
      </c>
      <c r="B9" s="5">
        <v>46044</v>
      </c>
      <c r="C9" s="4" t="s">
        <v>19</v>
      </c>
      <c r="D9" s="6">
        <v>199</v>
      </c>
      <c r="E9" s="7">
        <v>145.28</v>
      </c>
      <c r="F9" s="7">
        <v>28910.720000000001</v>
      </c>
    </row>
    <row r="10" spans="1:6" x14ac:dyDescent="0.3">
      <c r="A10" s="4" t="s">
        <v>20</v>
      </c>
      <c r="B10" s="5">
        <v>46057</v>
      </c>
      <c r="C10" s="4" t="s">
        <v>21</v>
      </c>
      <c r="D10" s="6">
        <v>85</v>
      </c>
      <c r="E10" s="7">
        <v>139.55000000000001</v>
      </c>
      <c r="F10" s="7">
        <v>11861.75</v>
      </c>
    </row>
    <row r="11" spans="1:6" x14ac:dyDescent="0.3">
      <c r="A11" s="4" t="s">
        <v>22</v>
      </c>
      <c r="B11" s="5">
        <v>46086</v>
      </c>
      <c r="C11" s="4" t="s">
        <v>23</v>
      </c>
      <c r="D11" s="6">
        <v>154</v>
      </c>
      <c r="E11" s="7">
        <v>172.88</v>
      </c>
      <c r="F11" s="7">
        <v>26623.52</v>
      </c>
    </row>
    <row r="12" spans="1:6" x14ac:dyDescent="0.3">
      <c r="A12" s="4" t="s">
        <v>24</v>
      </c>
      <c r="B12" s="5">
        <v>46126</v>
      </c>
      <c r="C12" s="4" t="s">
        <v>25</v>
      </c>
      <c r="D12" s="6">
        <v>235</v>
      </c>
      <c r="E12" s="7">
        <v>161.12</v>
      </c>
      <c r="F12" s="7">
        <v>37863.199999999997</v>
      </c>
    </row>
    <row r="13" spans="1:6" x14ac:dyDescent="0.3">
      <c r="A13" s="4" t="s">
        <v>26</v>
      </c>
      <c r="B13" s="5">
        <v>46161</v>
      </c>
      <c r="C13" s="4" t="s">
        <v>27</v>
      </c>
      <c r="D13" s="6">
        <v>204</v>
      </c>
      <c r="E13" s="7">
        <v>82.85</v>
      </c>
      <c r="F13" s="7">
        <v>16901.400000000001</v>
      </c>
    </row>
    <row r="14" spans="1:6" x14ac:dyDescent="0.3">
      <c r="A14" s="4" t="s">
        <v>28</v>
      </c>
      <c r="B14" s="5">
        <v>46201</v>
      </c>
      <c r="C14" s="4" t="s">
        <v>29</v>
      </c>
      <c r="D14" s="6">
        <v>149</v>
      </c>
      <c r="E14" s="7">
        <v>236.81</v>
      </c>
      <c r="F14" s="7">
        <v>35284.69</v>
      </c>
    </row>
    <row r="15" spans="1:6" x14ac:dyDescent="0.3">
      <c r="A15" s="4" t="s">
        <v>30</v>
      </c>
      <c r="B15" s="5">
        <v>46205</v>
      </c>
      <c r="C15" s="4" t="s">
        <v>31</v>
      </c>
      <c r="D15" s="6">
        <v>245</v>
      </c>
      <c r="E15" s="7">
        <v>218.2</v>
      </c>
      <c r="F15" s="7">
        <v>53459</v>
      </c>
    </row>
    <row r="16" spans="1:6" x14ac:dyDescent="0.3">
      <c r="A16" s="4" t="s">
        <v>32</v>
      </c>
      <c r="B16" s="5">
        <v>46031</v>
      </c>
      <c r="C16" s="4" t="s">
        <v>33</v>
      </c>
      <c r="D16" s="6">
        <v>24</v>
      </c>
      <c r="E16" s="7">
        <v>260.57</v>
      </c>
      <c r="F16" s="7">
        <v>6253.68</v>
      </c>
    </row>
    <row r="17" spans="1:6" x14ac:dyDescent="0.3">
      <c r="A17" s="4" t="s">
        <v>34</v>
      </c>
      <c r="B17" s="5">
        <v>46078</v>
      </c>
      <c r="C17" s="4" t="s">
        <v>35</v>
      </c>
      <c r="D17" s="6">
        <v>15</v>
      </c>
      <c r="E17" s="7">
        <v>235.94</v>
      </c>
      <c r="F17" s="7">
        <v>3539.1</v>
      </c>
    </row>
    <row r="18" spans="1:6" x14ac:dyDescent="0.3">
      <c r="A18" s="4" t="s">
        <v>36</v>
      </c>
      <c r="B18" s="5">
        <v>46104</v>
      </c>
      <c r="C18" s="4" t="s">
        <v>37</v>
      </c>
      <c r="D18" s="6">
        <v>42</v>
      </c>
      <c r="E18" s="7">
        <v>281.04000000000002</v>
      </c>
      <c r="F18" s="7">
        <v>11803.68</v>
      </c>
    </row>
    <row r="19" spans="1:6" x14ac:dyDescent="0.3">
      <c r="A19" s="4" t="s">
        <v>38</v>
      </c>
      <c r="B19" s="5">
        <v>46115</v>
      </c>
      <c r="C19" s="4" t="s">
        <v>39</v>
      </c>
      <c r="D19" s="6">
        <v>81</v>
      </c>
      <c r="E19" s="7">
        <v>329.71</v>
      </c>
      <c r="F19" s="7">
        <v>26706.51</v>
      </c>
    </row>
    <row r="20" spans="1:6" x14ac:dyDescent="0.3">
      <c r="A20" s="4" t="s">
        <v>40</v>
      </c>
      <c r="B20" s="5">
        <v>46148</v>
      </c>
      <c r="C20" s="4" t="s">
        <v>41</v>
      </c>
      <c r="D20" s="6">
        <v>133</v>
      </c>
      <c r="E20" s="7">
        <v>298.22000000000003</v>
      </c>
      <c r="F20" s="7">
        <v>39663.26</v>
      </c>
    </row>
    <row r="21" spans="1:6" x14ac:dyDescent="0.3">
      <c r="A21" s="4" t="s">
        <v>42</v>
      </c>
      <c r="B21" s="5">
        <v>46190</v>
      </c>
      <c r="C21" s="4" t="s">
        <v>43</v>
      </c>
      <c r="D21" s="6">
        <v>57</v>
      </c>
      <c r="E21" s="7">
        <v>349.63</v>
      </c>
      <c r="F21" s="7">
        <v>19928.91</v>
      </c>
    </row>
    <row r="22" spans="1:6" x14ac:dyDescent="0.3">
      <c r="A22" s="4" t="s">
        <v>44</v>
      </c>
      <c r="B22" s="5">
        <v>46223</v>
      </c>
      <c r="C22" s="4" t="s">
        <v>45</v>
      </c>
      <c r="D22" s="6">
        <v>111</v>
      </c>
      <c r="E22" s="7">
        <v>312.12</v>
      </c>
      <c r="F22" s="7">
        <v>34645.32</v>
      </c>
    </row>
    <row r="23" spans="1:6" x14ac:dyDescent="0.3">
      <c r="A23" s="4" t="s">
        <v>46</v>
      </c>
      <c r="B23" s="5">
        <v>46049</v>
      </c>
      <c r="C23" s="4" t="s">
        <v>47</v>
      </c>
      <c r="D23" s="6">
        <v>177</v>
      </c>
      <c r="E23" s="7">
        <v>366.27</v>
      </c>
      <c r="F23" s="7">
        <v>64829.79</v>
      </c>
    </row>
    <row r="24" spans="1:6" x14ac:dyDescent="0.3">
      <c r="A24" s="4" t="s">
        <v>48</v>
      </c>
      <c r="B24" s="5">
        <v>46071</v>
      </c>
      <c r="C24" s="4" t="s">
        <v>49</v>
      </c>
      <c r="D24" s="6">
        <v>256</v>
      </c>
      <c r="E24" s="7">
        <v>423.98</v>
      </c>
      <c r="F24" s="7">
        <v>108538.88</v>
      </c>
    </row>
    <row r="25" spans="1:6" x14ac:dyDescent="0.3">
      <c r="A25" s="4" t="s">
        <v>50</v>
      </c>
      <c r="B25" s="5">
        <v>46091</v>
      </c>
      <c r="C25" s="4" t="s">
        <v>51</v>
      </c>
      <c r="D25" s="6">
        <v>114</v>
      </c>
      <c r="E25" s="7">
        <v>379.62</v>
      </c>
      <c r="F25" s="7">
        <v>43276.68</v>
      </c>
    </row>
    <row r="26" spans="1:6" x14ac:dyDescent="0.3">
      <c r="A26" s="4" t="s">
        <v>52</v>
      </c>
      <c r="B26" s="5">
        <v>46134</v>
      </c>
      <c r="C26" s="4" t="s">
        <v>53</v>
      </c>
      <c r="D26" s="6">
        <v>195</v>
      </c>
      <c r="E26" s="7">
        <v>440.06</v>
      </c>
      <c r="F26" s="7">
        <v>85811.7</v>
      </c>
    </row>
    <row r="27" spans="1:6" x14ac:dyDescent="0.3">
      <c r="A27" s="4" t="s">
        <v>54</v>
      </c>
      <c r="B27" s="5">
        <v>46166</v>
      </c>
      <c r="C27" s="4" t="s">
        <v>55</v>
      </c>
      <c r="D27" s="6">
        <v>288</v>
      </c>
      <c r="E27" s="7">
        <v>389.68</v>
      </c>
      <c r="F27" s="7">
        <v>112227.84</v>
      </c>
    </row>
    <row r="28" spans="1:6" x14ac:dyDescent="0.3">
      <c r="A28" s="4" t="s">
        <v>56</v>
      </c>
      <c r="B28" s="5">
        <v>46179</v>
      </c>
      <c r="C28" s="4" t="s">
        <v>57</v>
      </c>
      <c r="D28" s="6">
        <v>91</v>
      </c>
      <c r="E28" s="7">
        <v>452.86</v>
      </c>
      <c r="F28" s="7">
        <v>41210.26</v>
      </c>
    </row>
    <row r="29" spans="1:6" x14ac:dyDescent="0.3">
      <c r="A29" s="4" t="s">
        <v>58</v>
      </c>
      <c r="B29" s="5">
        <v>46210</v>
      </c>
      <c r="C29" s="4" t="s">
        <v>59</v>
      </c>
      <c r="D29" s="6">
        <v>9</v>
      </c>
      <c r="E29" s="7">
        <v>519.62</v>
      </c>
      <c r="F29" s="7">
        <v>4676.58</v>
      </c>
    </row>
    <row r="30" spans="1:6" x14ac:dyDescent="0.3">
      <c r="A30" s="4" t="s">
        <v>60</v>
      </c>
      <c r="B30" s="5">
        <v>46036</v>
      </c>
      <c r="C30" s="4" t="s">
        <v>61</v>
      </c>
      <c r="D30" s="6">
        <v>33</v>
      </c>
      <c r="E30" s="7">
        <v>462.38</v>
      </c>
      <c r="F30" s="7">
        <v>15258.54</v>
      </c>
    </row>
    <row r="31" spans="1:6" x14ac:dyDescent="0.3">
      <c r="A31" s="4" t="s">
        <v>62</v>
      </c>
      <c r="B31" s="5">
        <v>46064</v>
      </c>
      <c r="C31" s="4" t="s">
        <v>63</v>
      </c>
      <c r="D31" s="6">
        <v>70</v>
      </c>
      <c r="E31" s="7">
        <v>531.87</v>
      </c>
      <c r="F31" s="7">
        <v>37230.9</v>
      </c>
    </row>
    <row r="32" spans="1:6" x14ac:dyDescent="0.3">
      <c r="A32" s="4" t="s">
        <v>64</v>
      </c>
      <c r="B32" s="5">
        <v>46109</v>
      </c>
      <c r="C32" s="4" t="s">
        <v>65</v>
      </c>
      <c r="D32" s="6">
        <v>33</v>
      </c>
      <c r="E32" s="7">
        <v>468.6</v>
      </c>
      <c r="F32" s="7">
        <v>15463.8</v>
      </c>
    </row>
    <row r="33" spans="1:6" x14ac:dyDescent="0.3">
      <c r="A33" s="4" t="s">
        <v>66</v>
      </c>
      <c r="B33" s="5">
        <v>46123</v>
      </c>
      <c r="C33" s="4" t="s">
        <v>67</v>
      </c>
      <c r="D33" s="6">
        <v>71</v>
      </c>
      <c r="E33" s="7">
        <v>540.83000000000004</v>
      </c>
      <c r="F33" s="7">
        <v>38398.93</v>
      </c>
    </row>
    <row r="34" spans="1:6" x14ac:dyDescent="0.3">
      <c r="A34" s="4" t="s">
        <v>68</v>
      </c>
      <c r="B34" s="5">
        <v>46153</v>
      </c>
      <c r="C34" s="4" t="s">
        <v>69</v>
      </c>
      <c r="D34" s="6">
        <v>214</v>
      </c>
      <c r="E34" s="7">
        <v>530.48</v>
      </c>
      <c r="F34" s="7">
        <v>113522.72</v>
      </c>
    </row>
    <row r="35" spans="1:6" x14ac:dyDescent="0.3">
      <c r="A35" s="4" t="s">
        <v>70</v>
      </c>
      <c r="B35" s="5">
        <v>46198</v>
      </c>
      <c r="C35" s="4" t="s">
        <v>71</v>
      </c>
      <c r="D35" s="6">
        <v>186</v>
      </c>
      <c r="E35" s="7">
        <v>546.51</v>
      </c>
      <c r="F35" s="7">
        <v>101650.86</v>
      </c>
    </row>
    <row r="36" spans="1:6" x14ac:dyDescent="0.3">
      <c r="A36" s="4" t="s">
        <v>72</v>
      </c>
      <c r="B36" s="5">
        <v>46228</v>
      </c>
      <c r="C36" s="4" t="s">
        <v>73</v>
      </c>
      <c r="D36" s="6">
        <v>82</v>
      </c>
      <c r="E36" s="7">
        <v>625.04</v>
      </c>
      <c r="F36" s="7">
        <v>51253.279999999999</v>
      </c>
    </row>
    <row r="37" spans="1:6" x14ac:dyDescent="0.3">
      <c r="A37" s="4" t="s">
        <v>74</v>
      </c>
      <c r="B37" s="5">
        <v>46023</v>
      </c>
      <c r="C37" s="4" t="s">
        <v>75</v>
      </c>
      <c r="D37" s="6">
        <v>148</v>
      </c>
      <c r="E37" s="7">
        <v>548.9</v>
      </c>
      <c r="F37" s="7">
        <v>81237.2</v>
      </c>
    </row>
    <row r="38" spans="1:6" x14ac:dyDescent="0.3">
      <c r="A38" s="4" t="s">
        <v>76</v>
      </c>
      <c r="B38" s="5">
        <v>46057</v>
      </c>
      <c r="C38" s="4" t="s">
        <v>77</v>
      </c>
      <c r="D38" s="6">
        <v>226</v>
      </c>
      <c r="E38" s="7">
        <v>630.16999999999996</v>
      </c>
      <c r="F38" s="7">
        <v>142418.42000000001</v>
      </c>
    </row>
    <row r="39" spans="1:6" x14ac:dyDescent="0.3">
      <c r="A39" s="4" t="s">
        <v>78</v>
      </c>
      <c r="B39" s="5">
        <v>46096</v>
      </c>
      <c r="C39" s="4" t="s">
        <v>79</v>
      </c>
      <c r="D39" s="6">
        <v>317</v>
      </c>
      <c r="E39" s="7">
        <v>548</v>
      </c>
      <c r="F39" s="7">
        <v>173716</v>
      </c>
    </row>
    <row r="40" spans="1:6" x14ac:dyDescent="0.3">
      <c r="A40" s="4" t="s">
        <v>80</v>
      </c>
      <c r="B40" s="5">
        <v>46142</v>
      </c>
      <c r="C40" s="4" t="s">
        <v>81</v>
      </c>
      <c r="D40" s="6">
        <v>147</v>
      </c>
      <c r="E40" s="7">
        <v>632.01</v>
      </c>
      <c r="F40" s="7">
        <v>92905.47</v>
      </c>
    </row>
    <row r="41" spans="1:6" x14ac:dyDescent="0.3">
      <c r="A41" s="4" t="s">
        <v>82</v>
      </c>
      <c r="B41" s="5">
        <v>46171</v>
      </c>
      <c r="C41" s="4" t="s">
        <v>83</v>
      </c>
      <c r="D41" s="6">
        <v>240</v>
      </c>
      <c r="E41" s="7">
        <v>719.58</v>
      </c>
      <c r="F41" s="7">
        <v>172699.2</v>
      </c>
    </row>
    <row r="42" spans="1:6" x14ac:dyDescent="0.3">
      <c r="A42" s="4" t="s">
        <v>84</v>
      </c>
      <c r="B42" s="5">
        <v>46187</v>
      </c>
      <c r="C42" s="4" t="s">
        <v>85</v>
      </c>
      <c r="D42" s="6">
        <v>11</v>
      </c>
      <c r="E42" s="7">
        <v>630.55999999999995</v>
      </c>
      <c r="F42" s="7">
        <v>6936.16</v>
      </c>
    </row>
    <row r="43" spans="1:6" x14ac:dyDescent="0.3">
      <c r="A43" s="4" t="s">
        <v>86</v>
      </c>
      <c r="B43" s="5">
        <v>46215</v>
      </c>
      <c r="C43" s="4" t="s">
        <v>87</v>
      </c>
      <c r="D43" s="6">
        <v>11</v>
      </c>
      <c r="E43" s="7">
        <v>720.88</v>
      </c>
      <c r="F43" s="7">
        <v>7929.68</v>
      </c>
    </row>
    <row r="44" spans="1:6" x14ac:dyDescent="0.3">
      <c r="A44" s="4" t="s">
        <v>88</v>
      </c>
      <c r="B44" s="5">
        <v>46041</v>
      </c>
      <c r="C44" s="4" t="s">
        <v>89</v>
      </c>
      <c r="D44" s="6">
        <v>35</v>
      </c>
      <c r="E44" s="7">
        <v>625.82000000000005</v>
      </c>
      <c r="F44" s="7">
        <v>21903.7</v>
      </c>
    </row>
    <row r="45" spans="1:6" x14ac:dyDescent="0.3">
      <c r="A45" s="4" t="s">
        <v>90</v>
      </c>
      <c r="B45" s="5">
        <v>46078</v>
      </c>
      <c r="C45" s="4" t="s">
        <v>91</v>
      </c>
      <c r="D45" s="6">
        <v>71</v>
      </c>
      <c r="E45" s="7">
        <v>718.88</v>
      </c>
      <c r="F45" s="7">
        <v>51040.480000000003</v>
      </c>
    </row>
    <row r="46" spans="1:6" x14ac:dyDescent="0.3">
      <c r="A46" s="4" t="s">
        <v>92</v>
      </c>
      <c r="B46" s="5">
        <v>46083</v>
      </c>
      <c r="C46" s="4" t="s">
        <v>93</v>
      </c>
      <c r="D46" s="6">
        <v>120</v>
      </c>
      <c r="E46" s="7">
        <v>815.5</v>
      </c>
      <c r="F46" s="7">
        <v>97860</v>
      </c>
    </row>
    <row r="47" spans="1:6" x14ac:dyDescent="0.3">
      <c r="A47" s="4" t="s">
        <v>94</v>
      </c>
      <c r="B47" s="5">
        <v>46131</v>
      </c>
      <c r="C47" s="4" t="s">
        <v>95</v>
      </c>
      <c r="D47" s="6">
        <v>54</v>
      </c>
      <c r="E47" s="7">
        <v>713.6</v>
      </c>
      <c r="F47" s="7">
        <v>38534.400000000001</v>
      </c>
    </row>
    <row r="48" spans="1:6" x14ac:dyDescent="0.3">
      <c r="A48" s="4" t="s">
        <v>96</v>
      </c>
      <c r="B48" s="5">
        <v>46158</v>
      </c>
      <c r="C48" s="4" t="s">
        <v>97</v>
      </c>
      <c r="D48" s="6">
        <v>105</v>
      </c>
      <c r="E48" s="7">
        <v>812.95</v>
      </c>
      <c r="F48" s="7">
        <v>85359.75</v>
      </c>
    </row>
    <row r="49" spans="1:6" x14ac:dyDescent="0.3">
      <c r="A49" s="4" t="s">
        <v>98</v>
      </c>
      <c r="B49" s="5">
        <v>46176</v>
      </c>
      <c r="C49" s="4" t="s">
        <v>99</v>
      </c>
      <c r="D49" s="6">
        <v>168</v>
      </c>
      <c r="E49" s="7">
        <v>705.02</v>
      </c>
      <c r="F49" s="7">
        <v>118443.36</v>
      </c>
    </row>
    <row r="50" spans="1:6" x14ac:dyDescent="0.3">
      <c r="A50" s="4" t="s">
        <v>100</v>
      </c>
      <c r="B50" s="5">
        <v>46233</v>
      </c>
      <c r="C50" s="4" t="s">
        <v>101</v>
      </c>
      <c r="D50" s="6">
        <v>244</v>
      </c>
      <c r="E50" s="7">
        <v>807.12</v>
      </c>
      <c r="F50" s="7">
        <v>196937.28</v>
      </c>
    </row>
    <row r="51" spans="1:6" x14ac:dyDescent="0.3">
      <c r="A51" s="4" t="s">
        <v>102</v>
      </c>
      <c r="B51" s="5">
        <v>46028</v>
      </c>
      <c r="C51" s="4" t="s">
        <v>103</v>
      </c>
      <c r="D51" s="6">
        <v>112</v>
      </c>
      <c r="E51" s="7">
        <v>912.78</v>
      </c>
      <c r="F51" s="7">
        <v>102231.36</v>
      </c>
    </row>
    <row r="52" spans="1:6" x14ac:dyDescent="0.3">
      <c r="A52" s="4" t="s">
        <v>104</v>
      </c>
      <c r="B52" s="5">
        <v>46071</v>
      </c>
      <c r="C52" s="4" t="s">
        <v>105</v>
      </c>
      <c r="D52" s="6">
        <v>189</v>
      </c>
      <c r="E52" s="7">
        <v>798</v>
      </c>
      <c r="F52" s="7">
        <v>150822</v>
      </c>
    </row>
    <row r="53" spans="1:6" x14ac:dyDescent="0.3">
      <c r="A53" s="4" t="s">
        <v>106</v>
      </c>
      <c r="B53" s="5">
        <v>46101</v>
      </c>
      <c r="C53" s="4" t="s">
        <v>107</v>
      </c>
      <c r="D53" s="6">
        <v>279</v>
      </c>
      <c r="E53" s="7">
        <v>906.4</v>
      </c>
      <c r="F53" s="7">
        <v>252885.6</v>
      </c>
    </row>
    <row r="54" spans="1:6" x14ac:dyDescent="0.3">
      <c r="A54" s="4" t="s">
        <v>108</v>
      </c>
      <c r="B54" s="5">
        <v>46120</v>
      </c>
      <c r="C54" s="4" t="s">
        <v>109</v>
      </c>
      <c r="D54" s="6">
        <v>92</v>
      </c>
      <c r="E54" s="7">
        <v>785.59</v>
      </c>
      <c r="F54" s="7">
        <v>72274.28</v>
      </c>
    </row>
    <row r="55" spans="1:6" x14ac:dyDescent="0.3">
      <c r="A55" s="4" t="s">
        <v>110</v>
      </c>
      <c r="B55" s="5">
        <v>46145</v>
      </c>
      <c r="C55" s="4" t="s">
        <v>111</v>
      </c>
      <c r="D55" s="6">
        <v>184</v>
      </c>
      <c r="E55" s="7">
        <v>896.73</v>
      </c>
      <c r="F55" s="7">
        <v>164998.32</v>
      </c>
    </row>
    <row r="56" spans="1:6" x14ac:dyDescent="0.3">
      <c r="A56" s="4" t="s">
        <v>112</v>
      </c>
      <c r="B56" s="5">
        <v>46195</v>
      </c>
      <c r="C56" s="4" t="s">
        <v>113</v>
      </c>
      <c r="D56" s="6">
        <v>23</v>
      </c>
      <c r="E56" s="7">
        <v>1011.43</v>
      </c>
      <c r="F56" s="7">
        <v>23262.89</v>
      </c>
    </row>
    <row r="57" spans="1:6" x14ac:dyDescent="0.3">
      <c r="A57" s="4" t="s">
        <v>114</v>
      </c>
      <c r="B57" s="5">
        <v>46220</v>
      </c>
      <c r="C57" s="4" t="s">
        <v>115</v>
      </c>
      <c r="D57" s="6">
        <v>57</v>
      </c>
      <c r="E57" s="7">
        <v>883.78</v>
      </c>
      <c r="F57" s="7">
        <v>50375.46</v>
      </c>
    </row>
    <row r="58" spans="1:6" x14ac:dyDescent="0.3">
      <c r="A58" s="4" t="s">
        <v>116</v>
      </c>
      <c r="B58" s="5">
        <v>46046</v>
      </c>
      <c r="C58" s="4" t="s">
        <v>117</v>
      </c>
      <c r="D58" s="6">
        <v>29</v>
      </c>
      <c r="E58" s="7">
        <v>1001.22</v>
      </c>
      <c r="F58" s="7">
        <v>29035.38</v>
      </c>
    </row>
    <row r="59" spans="1:6" x14ac:dyDescent="0.3">
      <c r="A59" s="4" t="s">
        <v>118</v>
      </c>
      <c r="B59" s="5">
        <v>46064</v>
      </c>
      <c r="C59" s="4" t="s">
        <v>119</v>
      </c>
      <c r="D59" s="6">
        <v>65</v>
      </c>
      <c r="E59" s="7">
        <v>867.53</v>
      </c>
      <c r="F59" s="7">
        <v>56389.45</v>
      </c>
    </row>
    <row r="60" spans="1:6" x14ac:dyDescent="0.3">
      <c r="A60" s="4" t="s">
        <v>120</v>
      </c>
      <c r="B60" s="5">
        <v>46088</v>
      </c>
      <c r="C60" s="4" t="s">
        <v>121</v>
      </c>
      <c r="D60" s="6">
        <v>113</v>
      </c>
      <c r="E60" s="7">
        <v>987.71</v>
      </c>
      <c r="F60" s="7">
        <v>111611.23</v>
      </c>
    </row>
    <row r="61" spans="1:6" x14ac:dyDescent="0.3">
      <c r="A61" s="4" t="s">
        <v>122</v>
      </c>
      <c r="B61" s="5">
        <v>46139</v>
      </c>
      <c r="C61" s="4" t="s">
        <v>123</v>
      </c>
      <c r="D61" s="6">
        <v>174</v>
      </c>
      <c r="E61" s="7">
        <v>1111.46</v>
      </c>
      <c r="F61" s="7">
        <v>193394.04</v>
      </c>
    </row>
    <row r="62" spans="1:6" x14ac:dyDescent="0.3">
      <c r="A62" s="4" t="s">
        <v>124</v>
      </c>
      <c r="B62" s="5">
        <v>46163</v>
      </c>
      <c r="C62" s="4" t="s">
        <v>125</v>
      </c>
      <c r="D62" s="6">
        <v>79</v>
      </c>
      <c r="E62" s="7">
        <v>970.92</v>
      </c>
      <c r="F62" s="7">
        <v>76702.679999999993</v>
      </c>
    </row>
    <row r="63" spans="1:6" x14ac:dyDescent="0.3">
      <c r="A63" s="4" t="s">
        <v>126</v>
      </c>
      <c r="B63" s="5">
        <v>46184</v>
      </c>
      <c r="C63" s="4" t="s">
        <v>127</v>
      </c>
      <c r="D63" s="6">
        <v>142</v>
      </c>
      <c r="E63" s="7">
        <v>1097.4000000000001</v>
      </c>
      <c r="F63" s="7">
        <v>155830.79999999999</v>
      </c>
    </row>
    <row r="64" spans="1:6" x14ac:dyDescent="0.3">
      <c r="A64" s="4" t="s">
        <v>128</v>
      </c>
      <c r="B64" s="5">
        <v>46207</v>
      </c>
      <c r="C64" s="4" t="s">
        <v>129</v>
      </c>
      <c r="D64" s="6">
        <v>217</v>
      </c>
      <c r="E64" s="7">
        <v>950.84</v>
      </c>
      <c r="F64" s="7">
        <v>206332.28</v>
      </c>
    </row>
    <row r="65" spans="1:6" x14ac:dyDescent="0.3">
      <c r="A65" s="4" t="s">
        <v>130</v>
      </c>
      <c r="B65" s="5">
        <v>46033</v>
      </c>
      <c r="C65" s="4" t="s">
        <v>131</v>
      </c>
      <c r="D65" s="6">
        <v>67</v>
      </c>
      <c r="E65" s="7">
        <v>1080.06</v>
      </c>
      <c r="F65" s="7">
        <v>72364.02</v>
      </c>
    </row>
    <row r="66" spans="1:6" x14ac:dyDescent="0.3">
      <c r="A66" s="4" t="s">
        <v>132</v>
      </c>
      <c r="B66" s="5">
        <v>46057</v>
      </c>
      <c r="C66" s="4" t="s">
        <v>133</v>
      </c>
      <c r="D66" s="6">
        <v>144</v>
      </c>
      <c r="E66" s="7">
        <v>927.47</v>
      </c>
      <c r="F66" s="7">
        <v>133555.68</v>
      </c>
    </row>
    <row r="67" spans="1:6" x14ac:dyDescent="0.3">
      <c r="A67" s="4" t="s">
        <v>134</v>
      </c>
      <c r="B67" s="5">
        <v>46106</v>
      </c>
      <c r="C67" s="4" t="s">
        <v>135</v>
      </c>
      <c r="D67" s="6">
        <v>234</v>
      </c>
      <c r="E67" s="7">
        <v>1059.44</v>
      </c>
      <c r="F67" s="7">
        <v>247908.96</v>
      </c>
    </row>
    <row r="68" spans="1:6" x14ac:dyDescent="0.3">
      <c r="A68" s="4" t="s">
        <v>136</v>
      </c>
      <c r="B68" s="5">
        <v>46128</v>
      </c>
      <c r="C68" s="4" t="s">
        <v>137</v>
      </c>
      <c r="D68" s="6">
        <v>336</v>
      </c>
      <c r="E68" s="7">
        <v>1194.96</v>
      </c>
      <c r="F68" s="7">
        <v>401506.56</v>
      </c>
    </row>
    <row r="69" spans="1:6" x14ac:dyDescent="0.3">
      <c r="A69" s="4" t="s">
        <v>138</v>
      </c>
      <c r="B69" s="5">
        <v>46150</v>
      </c>
      <c r="C69" s="4" t="s">
        <v>139</v>
      </c>
      <c r="D69" s="6">
        <v>7</v>
      </c>
      <c r="E69" s="7">
        <v>1035.52</v>
      </c>
      <c r="F69" s="7">
        <v>7248.64</v>
      </c>
    </row>
    <row r="70" spans="1:6" x14ac:dyDescent="0.3">
      <c r="A70" s="4" t="s">
        <v>140</v>
      </c>
      <c r="B70" s="5">
        <v>46203</v>
      </c>
      <c r="C70" s="4" t="s">
        <v>141</v>
      </c>
      <c r="D70" s="6">
        <v>15</v>
      </c>
      <c r="E70" s="7">
        <v>549.03</v>
      </c>
      <c r="F70" s="7">
        <v>8235.4500000000007</v>
      </c>
    </row>
    <row r="71" spans="1:6" x14ac:dyDescent="0.3">
      <c r="A71" s="4" t="s">
        <v>142</v>
      </c>
      <c r="B71" s="5">
        <v>46225</v>
      </c>
      <c r="C71" s="4" t="s">
        <v>143</v>
      </c>
      <c r="D71" s="6">
        <v>61</v>
      </c>
      <c r="E71" s="7">
        <v>1008.32</v>
      </c>
      <c r="F71" s="7">
        <v>61507.519999999997</v>
      </c>
    </row>
    <row r="72" spans="1:6" x14ac:dyDescent="0.3">
      <c r="A72" s="4" t="s">
        <v>144</v>
      </c>
      <c r="B72" s="5">
        <v>46051</v>
      </c>
      <c r="C72" s="4" t="s">
        <v>145</v>
      </c>
      <c r="D72" s="6">
        <v>107</v>
      </c>
      <c r="E72" s="7">
        <v>1149.32</v>
      </c>
      <c r="F72" s="7">
        <v>122977.24</v>
      </c>
    </row>
    <row r="73" spans="1:6" x14ac:dyDescent="0.3">
      <c r="A73" s="4" t="s">
        <v>146</v>
      </c>
      <c r="B73" s="5">
        <v>46078</v>
      </c>
      <c r="C73" s="4" t="s">
        <v>147</v>
      </c>
      <c r="D73" s="6">
        <v>50</v>
      </c>
      <c r="E73" s="7">
        <v>1293.8900000000001</v>
      </c>
      <c r="F73" s="7">
        <v>64694.5</v>
      </c>
    </row>
    <row r="74" spans="1:6" x14ac:dyDescent="0.3">
      <c r="A74" s="4" t="s">
        <v>148</v>
      </c>
      <c r="B74" s="5">
        <v>46093</v>
      </c>
      <c r="C74" s="4" t="s">
        <v>149</v>
      </c>
      <c r="D74" s="6">
        <v>98</v>
      </c>
      <c r="E74" s="7">
        <v>1121.57</v>
      </c>
      <c r="F74" s="7">
        <v>109913.86</v>
      </c>
    </row>
    <row r="75" spans="1:6" x14ac:dyDescent="0.3">
      <c r="A75" s="4" t="s">
        <v>150</v>
      </c>
      <c r="B75" s="5">
        <v>46117</v>
      </c>
      <c r="C75" s="4" t="s">
        <v>151</v>
      </c>
      <c r="D75" s="6">
        <v>158</v>
      </c>
      <c r="E75" s="7">
        <v>1268.8800000000001</v>
      </c>
      <c r="F75" s="7">
        <v>200483.04</v>
      </c>
    </row>
    <row r="76" spans="1:6" x14ac:dyDescent="0.3">
      <c r="A76" s="4" t="s">
        <v>152</v>
      </c>
      <c r="B76" s="5">
        <v>46168</v>
      </c>
      <c r="C76" s="4" t="s">
        <v>153</v>
      </c>
      <c r="D76" s="6">
        <v>231</v>
      </c>
      <c r="E76" s="7">
        <v>1090.53</v>
      </c>
      <c r="F76" s="7">
        <v>251912.43</v>
      </c>
    </row>
    <row r="77" spans="1:6" x14ac:dyDescent="0.3">
      <c r="A77" s="4" t="s">
        <v>154</v>
      </c>
      <c r="B77" s="5">
        <v>46192</v>
      </c>
      <c r="C77" s="4" t="s">
        <v>155</v>
      </c>
      <c r="D77" s="6">
        <v>108</v>
      </c>
      <c r="E77" s="7">
        <v>1240.58</v>
      </c>
      <c r="F77" s="7">
        <v>133982.64000000001</v>
      </c>
    </row>
    <row r="78" spans="1:6" x14ac:dyDescent="0.3">
      <c r="A78" s="4" t="s">
        <v>156</v>
      </c>
      <c r="B78" s="5">
        <v>46212</v>
      </c>
      <c r="C78" s="4" t="s">
        <v>157</v>
      </c>
      <c r="D78" s="6">
        <v>183</v>
      </c>
      <c r="E78" s="7">
        <v>1394.18</v>
      </c>
      <c r="F78" s="7">
        <v>255134.94</v>
      </c>
    </row>
    <row r="79" spans="1:6" x14ac:dyDescent="0.3">
      <c r="A79" s="4" t="s">
        <v>158</v>
      </c>
      <c r="B79" s="5">
        <v>46038</v>
      </c>
      <c r="C79" s="4" t="s">
        <v>159</v>
      </c>
      <c r="D79" s="6">
        <v>270</v>
      </c>
      <c r="E79" s="7">
        <v>1208.99</v>
      </c>
      <c r="F79" s="7">
        <v>326427.3</v>
      </c>
    </row>
    <row r="80" spans="1:6" x14ac:dyDescent="0.3">
      <c r="A80" s="4" t="s">
        <v>160</v>
      </c>
      <c r="B80" s="5">
        <v>46071</v>
      </c>
      <c r="C80" s="4" t="s">
        <v>161</v>
      </c>
      <c r="D80" s="6">
        <v>92</v>
      </c>
      <c r="E80" s="7">
        <v>1365.34</v>
      </c>
      <c r="F80" s="7">
        <v>125611.28</v>
      </c>
    </row>
    <row r="81" spans="1:6" x14ac:dyDescent="0.3">
      <c r="A81" s="4" t="s">
        <v>162</v>
      </c>
      <c r="B81" s="5">
        <v>46111</v>
      </c>
      <c r="C81" s="4" t="s">
        <v>163</v>
      </c>
      <c r="D81" s="6">
        <v>181</v>
      </c>
      <c r="E81" s="7">
        <v>1174.1099999999999</v>
      </c>
      <c r="F81" s="7">
        <v>212513.91</v>
      </c>
    </row>
    <row r="82" spans="1:6" x14ac:dyDescent="0.3">
      <c r="A82" s="4" t="s">
        <v>164</v>
      </c>
      <c r="B82" s="5">
        <v>46136</v>
      </c>
      <c r="C82" s="4" t="s">
        <v>165</v>
      </c>
      <c r="D82" s="6">
        <v>13</v>
      </c>
      <c r="E82" s="7">
        <v>1333.2</v>
      </c>
      <c r="F82" s="7">
        <v>17331.599999999999</v>
      </c>
    </row>
    <row r="83" spans="1:6" x14ac:dyDescent="0.3">
      <c r="A83" s="4" t="s">
        <v>166</v>
      </c>
      <c r="B83" s="5">
        <v>46155</v>
      </c>
      <c r="C83" s="4" t="s">
        <v>167</v>
      </c>
      <c r="D83" s="6">
        <v>43</v>
      </c>
      <c r="E83" s="7">
        <v>1495.85</v>
      </c>
      <c r="F83" s="7">
        <v>64321.55</v>
      </c>
    </row>
    <row r="84" spans="1:6" x14ac:dyDescent="0.3">
      <c r="A84" s="4" t="s">
        <v>168</v>
      </c>
      <c r="B84" s="5">
        <v>46181</v>
      </c>
      <c r="C84" s="4" t="s">
        <v>169</v>
      </c>
      <c r="D84" s="6">
        <v>25</v>
      </c>
      <c r="E84" s="7">
        <v>1297.78</v>
      </c>
      <c r="F84" s="7">
        <v>32444.5</v>
      </c>
    </row>
    <row r="85" spans="1:6" x14ac:dyDescent="0.3">
      <c r="A85" s="4" t="s">
        <v>170</v>
      </c>
      <c r="B85" s="5">
        <v>46230</v>
      </c>
      <c r="C85" s="4" t="s">
        <v>171</v>
      </c>
      <c r="D85" s="6">
        <v>58</v>
      </c>
      <c r="E85" s="7">
        <v>1463.17</v>
      </c>
      <c r="F85" s="7">
        <v>84863.86</v>
      </c>
    </row>
    <row r="86" spans="1:6" x14ac:dyDescent="0.3">
      <c r="A86" s="4" t="s">
        <v>172</v>
      </c>
      <c r="B86" s="5">
        <v>46025</v>
      </c>
      <c r="C86" s="4" t="s">
        <v>173</v>
      </c>
      <c r="D86" s="6">
        <v>103</v>
      </c>
      <c r="E86" s="7">
        <v>1259.06</v>
      </c>
      <c r="F86" s="7">
        <v>129683.18</v>
      </c>
    </row>
    <row r="87" spans="1:6" x14ac:dyDescent="0.3">
      <c r="A87" s="4" t="s">
        <v>174</v>
      </c>
      <c r="B87" s="5">
        <v>46064</v>
      </c>
      <c r="C87" s="4" t="s">
        <v>175</v>
      </c>
      <c r="D87" s="6">
        <v>160</v>
      </c>
      <c r="E87" s="7">
        <v>1427.2</v>
      </c>
      <c r="F87" s="7">
        <v>228352</v>
      </c>
    </row>
    <row r="88" spans="1:6" x14ac:dyDescent="0.3">
      <c r="A88" s="4" t="s">
        <v>176</v>
      </c>
      <c r="B88" s="5">
        <v>46098</v>
      </c>
      <c r="C88" s="4" t="s">
        <v>177</v>
      </c>
      <c r="D88" s="6">
        <v>76</v>
      </c>
      <c r="E88" s="7">
        <v>1598.89</v>
      </c>
      <c r="F88" s="7">
        <v>121515.64</v>
      </c>
    </row>
    <row r="89" spans="1:6" x14ac:dyDescent="0.3">
      <c r="A89" s="4" t="s">
        <v>178</v>
      </c>
      <c r="B89" s="5">
        <v>46125</v>
      </c>
      <c r="C89" s="4" t="s">
        <v>179</v>
      </c>
      <c r="D89" s="6">
        <v>135</v>
      </c>
      <c r="E89" s="7">
        <v>1387.94</v>
      </c>
      <c r="F89" s="7">
        <v>187371.9</v>
      </c>
    </row>
    <row r="90" spans="1:6" x14ac:dyDescent="0.3">
      <c r="A90" s="4" t="s">
        <v>180</v>
      </c>
      <c r="B90" s="5">
        <v>46173</v>
      </c>
      <c r="C90" s="4" t="s">
        <v>181</v>
      </c>
      <c r="D90" s="6">
        <v>207</v>
      </c>
      <c r="E90" s="7">
        <v>1562.37</v>
      </c>
      <c r="F90" s="7">
        <v>323410.59000000003</v>
      </c>
    </row>
    <row r="91" spans="1:6" x14ac:dyDescent="0.3">
      <c r="A91" s="4" t="s">
        <v>182</v>
      </c>
      <c r="B91" s="5">
        <v>46200</v>
      </c>
      <c r="C91" s="4" t="s">
        <v>183</v>
      </c>
      <c r="D91" s="6">
        <v>67</v>
      </c>
      <c r="E91" s="7">
        <v>1345.39</v>
      </c>
      <c r="F91" s="7">
        <v>90141.13</v>
      </c>
    </row>
    <row r="92" spans="1:6" x14ac:dyDescent="0.3">
      <c r="A92" s="4" t="s">
        <v>184</v>
      </c>
      <c r="B92" s="5">
        <v>46217</v>
      </c>
      <c r="C92" s="4" t="s">
        <v>185</v>
      </c>
      <c r="D92" s="6">
        <v>141</v>
      </c>
      <c r="E92" s="7">
        <v>1522.56</v>
      </c>
      <c r="F92" s="7">
        <v>214680.95999999999</v>
      </c>
    </row>
    <row r="93" spans="1:6" x14ac:dyDescent="0.3">
      <c r="A93" s="4" t="s">
        <v>186</v>
      </c>
      <c r="B93" s="5">
        <v>46043</v>
      </c>
      <c r="C93" s="4" t="s">
        <v>187</v>
      </c>
      <c r="D93" s="6">
        <v>228</v>
      </c>
      <c r="E93" s="7">
        <v>1703.3</v>
      </c>
      <c r="F93" s="7">
        <v>388352.4</v>
      </c>
    </row>
    <row r="94" spans="1:6" x14ac:dyDescent="0.3">
      <c r="A94" s="4" t="s">
        <v>188</v>
      </c>
      <c r="B94" s="5">
        <v>46057</v>
      </c>
      <c r="C94" s="4" t="s">
        <v>189</v>
      </c>
      <c r="D94" s="6">
        <v>327</v>
      </c>
      <c r="E94" s="7">
        <v>1479.46</v>
      </c>
      <c r="F94" s="7">
        <v>483783.42</v>
      </c>
    </row>
    <row r="95" spans="1:6" x14ac:dyDescent="0.3">
      <c r="A95" s="4" t="s">
        <v>190</v>
      </c>
      <c r="B95" s="5">
        <v>46085</v>
      </c>
      <c r="C95" s="4" t="s">
        <v>191</v>
      </c>
      <c r="D95" s="6">
        <v>3</v>
      </c>
      <c r="E95" s="7">
        <v>1662.94</v>
      </c>
      <c r="F95" s="7">
        <v>4988.82</v>
      </c>
    </row>
    <row r="96" spans="1:6" x14ac:dyDescent="0.3">
      <c r="A96" s="4" t="s">
        <v>192</v>
      </c>
      <c r="B96" s="5">
        <v>46114</v>
      </c>
      <c r="C96" s="4" t="s">
        <v>193</v>
      </c>
      <c r="D96" s="6">
        <v>20</v>
      </c>
      <c r="E96" s="7">
        <v>1433.08</v>
      </c>
      <c r="F96" s="7">
        <v>28661.599999999999</v>
      </c>
    </row>
    <row r="97" spans="1:6" x14ac:dyDescent="0.3">
      <c r="A97" s="4" t="s">
        <v>194</v>
      </c>
      <c r="B97" s="5">
        <v>46160</v>
      </c>
      <c r="C97" s="4" t="s">
        <v>195</v>
      </c>
      <c r="D97" s="6">
        <v>51</v>
      </c>
      <c r="E97" s="7">
        <v>1619.3</v>
      </c>
      <c r="F97" s="7">
        <v>82584.3</v>
      </c>
    </row>
    <row r="98" spans="1:6" x14ac:dyDescent="0.3">
      <c r="A98" s="4" t="s">
        <v>196</v>
      </c>
      <c r="B98" s="5">
        <v>46189</v>
      </c>
      <c r="C98" s="4" t="s">
        <v>197</v>
      </c>
      <c r="D98" s="6">
        <v>93</v>
      </c>
      <c r="E98" s="7">
        <v>1383.41</v>
      </c>
      <c r="F98" s="7">
        <v>128657.13</v>
      </c>
    </row>
    <row r="99" spans="1:6" x14ac:dyDescent="0.3">
      <c r="A99" s="4" t="s">
        <v>198</v>
      </c>
      <c r="B99" s="5">
        <v>46204</v>
      </c>
      <c r="C99" s="4" t="s">
        <v>199</v>
      </c>
      <c r="D99" s="6">
        <v>46</v>
      </c>
      <c r="E99" s="7">
        <v>1572.36</v>
      </c>
      <c r="F99" s="7">
        <v>72328.56</v>
      </c>
    </row>
    <row r="100" spans="1:6" x14ac:dyDescent="0.3">
      <c r="A100" s="4" t="s">
        <v>200</v>
      </c>
      <c r="B100" s="5">
        <v>46030</v>
      </c>
      <c r="C100" s="4" t="s">
        <v>201</v>
      </c>
      <c r="D100" s="6">
        <v>91</v>
      </c>
      <c r="E100" s="7">
        <v>1764.88</v>
      </c>
      <c r="F100" s="7">
        <v>160604.07999999999</v>
      </c>
    </row>
    <row r="101" spans="1:6" x14ac:dyDescent="0.3">
      <c r="A101" s="4" t="s">
        <v>202</v>
      </c>
      <c r="B101" s="5">
        <v>46078</v>
      </c>
      <c r="C101" s="4" t="s">
        <v>203</v>
      </c>
      <c r="D101" s="6">
        <v>148</v>
      </c>
      <c r="E101" s="7">
        <v>1522.14</v>
      </c>
      <c r="F101" s="7">
        <v>225276.72</v>
      </c>
    </row>
    <row r="102" spans="1:6" x14ac:dyDescent="0.3">
      <c r="A102" s="4" t="s">
        <v>204</v>
      </c>
      <c r="B102" s="5">
        <v>46103</v>
      </c>
      <c r="C102" s="4" t="s">
        <v>205</v>
      </c>
      <c r="D102" s="6">
        <v>218</v>
      </c>
      <c r="E102" s="7">
        <v>1717.4</v>
      </c>
      <c r="F102" s="7">
        <v>374393.2</v>
      </c>
    </row>
    <row r="103" spans="1:6" x14ac:dyDescent="0.3">
      <c r="A103" s="4" t="s">
        <v>206</v>
      </c>
      <c r="B103" s="5">
        <v>46133</v>
      </c>
      <c r="C103" s="4" t="s">
        <v>207</v>
      </c>
      <c r="D103" s="6">
        <v>105</v>
      </c>
      <c r="E103" s="7">
        <v>1468.64</v>
      </c>
      <c r="F103" s="7">
        <v>154207.20000000001</v>
      </c>
    </row>
    <row r="104" spans="1:6" x14ac:dyDescent="0.3">
      <c r="A104" s="4" t="s">
        <v>208</v>
      </c>
      <c r="B104" s="5">
        <v>46147</v>
      </c>
      <c r="C104" s="4" t="s">
        <v>209</v>
      </c>
      <c r="D104" s="6">
        <v>176</v>
      </c>
      <c r="E104" s="7">
        <v>1666.63</v>
      </c>
      <c r="F104" s="7">
        <v>293326.88</v>
      </c>
    </row>
    <row r="105" spans="1:6" x14ac:dyDescent="0.3">
      <c r="A105" s="4" t="s">
        <v>210</v>
      </c>
      <c r="B105" s="5">
        <v>46178</v>
      </c>
      <c r="C105" s="4" t="s">
        <v>211</v>
      </c>
      <c r="D105" s="6">
        <v>387</v>
      </c>
      <c r="E105" s="7">
        <v>1604.36</v>
      </c>
      <c r="F105" s="7">
        <v>620887.31999999995</v>
      </c>
    </row>
    <row r="106" spans="1:6" x14ac:dyDescent="0.3">
      <c r="A106" s="4" t="s">
        <v>212</v>
      </c>
      <c r="B106" s="5">
        <v>46222</v>
      </c>
      <c r="C106" s="4" t="s">
        <v>213</v>
      </c>
      <c r="D106" s="6">
        <v>92</v>
      </c>
      <c r="E106" s="7">
        <v>1612.58</v>
      </c>
      <c r="F106" s="7">
        <v>148357.35999999999</v>
      </c>
    </row>
    <row r="107" spans="1:6" x14ac:dyDescent="0.3">
      <c r="A107" s="4" t="s">
        <v>214</v>
      </c>
      <c r="B107" s="5">
        <v>46048</v>
      </c>
      <c r="C107" s="4" t="s">
        <v>215</v>
      </c>
      <c r="D107" s="6">
        <v>178</v>
      </c>
      <c r="E107" s="7">
        <v>1816.88</v>
      </c>
      <c r="F107" s="7">
        <v>323404.64</v>
      </c>
    </row>
    <row r="108" spans="1:6" x14ac:dyDescent="0.3">
      <c r="A108" s="4" t="s">
        <v>216</v>
      </c>
      <c r="B108" s="5">
        <v>46071</v>
      </c>
      <c r="C108" s="4" t="s">
        <v>217</v>
      </c>
      <c r="D108" s="6">
        <v>277</v>
      </c>
      <c r="E108" s="7">
        <v>1555.23</v>
      </c>
      <c r="F108" s="7">
        <v>430798.71</v>
      </c>
    </row>
    <row r="109" spans="1:6" x14ac:dyDescent="0.3">
      <c r="A109" s="4" t="s">
        <v>218</v>
      </c>
      <c r="B109" s="5">
        <v>46090</v>
      </c>
      <c r="C109" s="4" t="s">
        <v>219</v>
      </c>
      <c r="D109" s="6">
        <v>29</v>
      </c>
      <c r="E109" s="7">
        <v>1762.27</v>
      </c>
      <c r="F109" s="7">
        <v>51105.83</v>
      </c>
    </row>
    <row r="110" spans="1:6" x14ac:dyDescent="0.3">
      <c r="A110" s="4" t="s">
        <v>220</v>
      </c>
      <c r="B110" s="5">
        <v>46122</v>
      </c>
      <c r="C110" s="4" t="s">
        <v>221</v>
      </c>
      <c r="D110" s="6">
        <v>21</v>
      </c>
      <c r="E110" s="7">
        <v>1972.87</v>
      </c>
      <c r="F110" s="7">
        <v>41430.269999999997</v>
      </c>
    </row>
    <row r="111" spans="1:6" x14ac:dyDescent="0.3">
      <c r="A111" s="4" t="s">
        <v>222</v>
      </c>
      <c r="B111" s="5">
        <v>46165</v>
      </c>
      <c r="C111" s="4" t="s">
        <v>223</v>
      </c>
      <c r="D111" s="6">
        <v>50</v>
      </c>
      <c r="E111" s="7">
        <v>1704.38</v>
      </c>
      <c r="F111" s="7">
        <v>85219</v>
      </c>
    </row>
    <row r="112" spans="1:6" x14ac:dyDescent="0.3">
      <c r="A112" s="4" t="s">
        <v>224</v>
      </c>
      <c r="B112" s="5">
        <v>46197</v>
      </c>
      <c r="C112" s="4" t="s">
        <v>225</v>
      </c>
      <c r="D112" s="6">
        <v>92</v>
      </c>
      <c r="E112" s="7">
        <v>1917.72</v>
      </c>
      <c r="F112" s="7">
        <v>176430.24</v>
      </c>
    </row>
    <row r="113" spans="1:6" x14ac:dyDescent="0.3">
      <c r="A113" s="4" t="s">
        <v>226</v>
      </c>
      <c r="B113" s="5">
        <v>46209</v>
      </c>
      <c r="C113" s="4" t="s">
        <v>227</v>
      </c>
      <c r="D113" s="6">
        <v>147</v>
      </c>
      <c r="E113" s="7">
        <v>1643.2</v>
      </c>
      <c r="F113" s="7">
        <v>241550.4</v>
      </c>
    </row>
    <row r="114" spans="1:6" x14ac:dyDescent="0.3">
      <c r="A114" s="4" t="s">
        <v>228</v>
      </c>
      <c r="B114" s="5">
        <v>46035</v>
      </c>
      <c r="C114" s="4" t="s">
        <v>229</v>
      </c>
      <c r="D114" s="6">
        <v>72</v>
      </c>
      <c r="E114" s="7">
        <v>1859.28</v>
      </c>
      <c r="F114" s="7">
        <v>133868.16</v>
      </c>
    </row>
    <row r="115" spans="1:6" x14ac:dyDescent="0.3">
      <c r="A115" s="4" t="s">
        <v>230</v>
      </c>
      <c r="B115" s="5">
        <v>46064</v>
      </c>
      <c r="C115" s="4" t="s">
        <v>231</v>
      </c>
      <c r="D115" s="6">
        <v>128</v>
      </c>
      <c r="E115" s="7">
        <v>2078.92</v>
      </c>
      <c r="F115" s="7">
        <v>266101.76000000001</v>
      </c>
    </row>
    <row r="116" spans="1:6" x14ac:dyDescent="0.3">
      <c r="A116" s="4" t="s">
        <v>232</v>
      </c>
      <c r="B116" s="5">
        <v>46108</v>
      </c>
      <c r="C116" s="4" t="s">
        <v>233</v>
      </c>
      <c r="D116" s="6">
        <v>197</v>
      </c>
      <c r="E116" s="7">
        <v>1797.55</v>
      </c>
      <c r="F116" s="7">
        <v>354117.35</v>
      </c>
    </row>
    <row r="117" spans="1:6" x14ac:dyDescent="0.3">
      <c r="A117" s="4" t="s">
        <v>234</v>
      </c>
      <c r="B117" s="5">
        <v>46141</v>
      </c>
      <c r="C117" s="4" t="s">
        <v>235</v>
      </c>
      <c r="D117" s="6">
        <v>67</v>
      </c>
      <c r="E117" s="7">
        <v>2019.94</v>
      </c>
      <c r="F117" s="7">
        <v>135335.98000000001</v>
      </c>
    </row>
    <row r="118" spans="1:6" x14ac:dyDescent="0.3">
      <c r="A118" s="4" t="s">
        <v>236</v>
      </c>
      <c r="B118" s="5">
        <v>46152</v>
      </c>
      <c r="C118" s="4" t="s">
        <v>237</v>
      </c>
      <c r="D118" s="6">
        <v>138</v>
      </c>
      <c r="E118" s="7">
        <v>1732.54</v>
      </c>
      <c r="F118" s="7">
        <v>239090.52</v>
      </c>
    </row>
    <row r="119" spans="1:6" x14ac:dyDescent="0.3">
      <c r="A119" s="4" t="s">
        <v>238</v>
      </c>
      <c r="B119" s="5">
        <v>46186</v>
      </c>
      <c r="C119" s="4" t="s">
        <v>239</v>
      </c>
      <c r="D119" s="6">
        <v>221</v>
      </c>
      <c r="E119" s="7">
        <v>1957.66</v>
      </c>
      <c r="F119" s="7">
        <v>432642.86</v>
      </c>
    </row>
    <row r="120" spans="1:6" x14ac:dyDescent="0.3">
      <c r="A120" s="4" t="s">
        <v>240</v>
      </c>
      <c r="B120" s="5">
        <v>46227</v>
      </c>
      <c r="C120" s="4" t="s">
        <v>241</v>
      </c>
      <c r="D120" s="6">
        <v>318</v>
      </c>
      <c r="E120" s="7">
        <v>2186.34</v>
      </c>
      <c r="F120" s="7">
        <v>695256.12</v>
      </c>
    </row>
    <row r="121" spans="1:6" x14ac:dyDescent="0.3">
      <c r="A121" s="4" t="s">
        <v>242</v>
      </c>
      <c r="B121" s="5">
        <v>46053</v>
      </c>
      <c r="C121" s="4" t="s">
        <v>243</v>
      </c>
      <c r="D121" s="6">
        <v>121</v>
      </c>
      <c r="E121" s="7">
        <v>1892.1</v>
      </c>
      <c r="F121" s="7">
        <v>228944.1</v>
      </c>
    </row>
    <row r="122" spans="1:6" x14ac:dyDescent="0.3">
      <c r="A122" s="4" t="s">
        <v>244</v>
      </c>
      <c r="B122" s="5">
        <v>46057</v>
      </c>
      <c r="C122" s="4" t="s">
        <v>245</v>
      </c>
      <c r="D122" s="6">
        <v>13</v>
      </c>
      <c r="E122" s="7">
        <v>2123.52</v>
      </c>
      <c r="F122" s="7">
        <v>27605.759999999998</v>
      </c>
    </row>
    <row r="123" spans="1:6" x14ac:dyDescent="0.3">
      <c r="A123" s="4" t="s">
        <v>246</v>
      </c>
      <c r="B123" s="5">
        <v>46095</v>
      </c>
      <c r="C123" s="4" t="s">
        <v>247</v>
      </c>
      <c r="D123" s="6">
        <v>40</v>
      </c>
      <c r="E123" s="7">
        <v>1823.24</v>
      </c>
      <c r="F123" s="7">
        <v>72929.600000000006</v>
      </c>
    </row>
    <row r="124" spans="1:6" x14ac:dyDescent="0.3">
      <c r="A124" s="4" t="s">
        <v>248</v>
      </c>
      <c r="B124" s="5">
        <v>46130</v>
      </c>
      <c r="C124" s="4" t="s">
        <v>249</v>
      </c>
      <c r="D124" s="6">
        <v>79</v>
      </c>
      <c r="E124" s="7">
        <v>2057.41</v>
      </c>
      <c r="F124" s="7">
        <v>162535.39000000001</v>
      </c>
    </row>
    <row r="125" spans="1:6" x14ac:dyDescent="0.3">
      <c r="A125" s="4" t="s">
        <v>250</v>
      </c>
      <c r="B125" s="5">
        <v>46170</v>
      </c>
      <c r="C125" s="4" t="s">
        <v>251</v>
      </c>
      <c r="D125" s="6">
        <v>42</v>
      </c>
      <c r="E125" s="7">
        <v>2295.14</v>
      </c>
      <c r="F125" s="7">
        <v>96395.88</v>
      </c>
    </row>
    <row r="126" spans="1:6" x14ac:dyDescent="0.3">
      <c r="A126" s="4" t="s">
        <v>252</v>
      </c>
      <c r="B126" s="5">
        <v>46175</v>
      </c>
      <c r="C126" s="4" t="s">
        <v>253</v>
      </c>
      <c r="D126" s="6">
        <v>84</v>
      </c>
      <c r="E126" s="7">
        <v>1988.01</v>
      </c>
      <c r="F126" s="7">
        <v>166992.84</v>
      </c>
    </row>
    <row r="127" spans="1:6" x14ac:dyDescent="0.3">
      <c r="A127" s="4" t="s">
        <v>254</v>
      </c>
      <c r="B127" s="5">
        <v>46214</v>
      </c>
      <c r="C127" s="4" t="s">
        <v>255</v>
      </c>
      <c r="D127" s="6">
        <v>66</v>
      </c>
      <c r="E127" s="7">
        <v>1122.8800000000001</v>
      </c>
      <c r="F127" s="7">
        <v>74110.080000000002</v>
      </c>
    </row>
    <row r="128" spans="1:6" x14ac:dyDescent="0.3">
      <c r="A128" s="4" t="s">
        <v>256</v>
      </c>
      <c r="B128" s="5">
        <v>46040</v>
      </c>
      <c r="C128" s="4" t="s">
        <v>257</v>
      </c>
      <c r="D128" s="6">
        <v>45</v>
      </c>
      <c r="E128" s="7">
        <v>1915.32</v>
      </c>
      <c r="F128" s="7">
        <v>86189.4</v>
      </c>
    </row>
    <row r="129" spans="1:6" x14ac:dyDescent="0.3">
      <c r="A129" s="4" t="s">
        <v>258</v>
      </c>
      <c r="B129" s="5">
        <v>46078</v>
      </c>
      <c r="C129" s="4" t="s">
        <v>259</v>
      </c>
      <c r="D129" s="6">
        <v>101</v>
      </c>
      <c r="E129" s="7">
        <v>2158.5300000000002</v>
      </c>
      <c r="F129" s="7">
        <v>218011.53</v>
      </c>
    </row>
    <row r="130" spans="1:6" x14ac:dyDescent="0.3">
      <c r="A130" s="4" t="s">
        <v>260</v>
      </c>
      <c r="B130" s="5">
        <v>46082</v>
      </c>
      <c r="C130" s="4" t="s">
        <v>261</v>
      </c>
      <c r="D130" s="6">
        <v>170</v>
      </c>
      <c r="E130" s="7">
        <v>1839.34</v>
      </c>
      <c r="F130" s="7">
        <v>312687.8</v>
      </c>
    </row>
    <row r="131" spans="1:6" x14ac:dyDescent="0.3">
      <c r="A131" s="4" t="s">
        <v>262</v>
      </c>
      <c r="B131" s="5">
        <v>46119</v>
      </c>
      <c r="C131" s="4" t="s">
        <v>263</v>
      </c>
      <c r="D131" s="6">
        <v>251</v>
      </c>
      <c r="E131" s="7">
        <v>2085.29</v>
      </c>
      <c r="F131" s="7">
        <v>523407.79</v>
      </c>
    </row>
    <row r="132" spans="1:6" x14ac:dyDescent="0.3">
      <c r="A132" s="4" t="s">
        <v>264</v>
      </c>
      <c r="B132" s="5">
        <v>46157</v>
      </c>
      <c r="C132" s="4" t="s">
        <v>265</v>
      </c>
      <c r="D132" s="6">
        <v>92</v>
      </c>
      <c r="E132" s="7">
        <v>2334.8000000000002</v>
      </c>
      <c r="F132" s="7">
        <v>214801.6</v>
      </c>
    </row>
    <row r="133" spans="1:6" x14ac:dyDescent="0.3">
      <c r="A133" s="4" t="s">
        <v>266</v>
      </c>
      <c r="B133" s="5">
        <v>46194</v>
      </c>
      <c r="C133" s="4" t="s">
        <v>267</v>
      </c>
      <c r="D133" s="6">
        <v>175</v>
      </c>
      <c r="E133" s="7">
        <v>2008.77</v>
      </c>
      <c r="F133" s="7">
        <v>351534.75</v>
      </c>
    </row>
    <row r="134" spans="1:6" x14ac:dyDescent="0.3">
      <c r="A134" s="4" t="s">
        <v>268</v>
      </c>
      <c r="B134" s="5">
        <v>46232</v>
      </c>
      <c r="C134" s="4" t="s">
        <v>269</v>
      </c>
      <c r="D134" s="6">
        <v>270</v>
      </c>
      <c r="E134" s="7">
        <v>2261.02</v>
      </c>
      <c r="F134" s="7">
        <v>610475.4</v>
      </c>
    </row>
    <row r="135" spans="1:6" x14ac:dyDescent="0.3">
      <c r="A135" s="4" t="s">
        <v>270</v>
      </c>
      <c r="B135" s="5">
        <v>46027</v>
      </c>
      <c r="C135" s="4" t="s">
        <v>271</v>
      </c>
      <c r="D135" s="6">
        <v>15</v>
      </c>
      <c r="E135" s="7">
        <v>1928.96</v>
      </c>
      <c r="F135" s="7">
        <v>28934.400000000001</v>
      </c>
    </row>
    <row r="136" spans="1:6" x14ac:dyDescent="0.3">
      <c r="A136" s="4" t="s">
        <v>272</v>
      </c>
      <c r="B136" s="5">
        <v>46071</v>
      </c>
      <c r="C136" s="4" t="s">
        <v>273</v>
      </c>
      <c r="D136" s="6">
        <v>16</v>
      </c>
      <c r="E136" s="7">
        <v>2183.94</v>
      </c>
      <c r="F136" s="7">
        <v>34943.040000000001</v>
      </c>
    </row>
    <row r="137" spans="1:6" x14ac:dyDescent="0.3">
      <c r="A137" s="4" t="s">
        <v>274</v>
      </c>
      <c r="B137" s="5">
        <v>46100</v>
      </c>
      <c r="C137" s="4" t="s">
        <v>275</v>
      </c>
      <c r="D137" s="6">
        <v>42</v>
      </c>
      <c r="E137" s="7">
        <v>2442.5</v>
      </c>
      <c r="F137" s="7">
        <v>102585</v>
      </c>
    </row>
    <row r="138" spans="1:6" x14ac:dyDescent="0.3">
      <c r="A138" s="4" t="s">
        <v>276</v>
      </c>
      <c r="B138" s="5">
        <v>46138</v>
      </c>
      <c r="C138" s="4" t="s">
        <v>277</v>
      </c>
      <c r="D138" s="6">
        <v>81</v>
      </c>
      <c r="E138" s="7">
        <v>2103.58</v>
      </c>
      <c r="F138" s="7">
        <v>170389.98</v>
      </c>
    </row>
    <row r="139" spans="1:6" x14ac:dyDescent="0.3">
      <c r="A139" s="4" t="s">
        <v>278</v>
      </c>
      <c r="B139" s="5">
        <v>46144</v>
      </c>
      <c r="C139" s="4" t="s">
        <v>279</v>
      </c>
      <c r="D139" s="6">
        <v>133</v>
      </c>
      <c r="E139" s="7">
        <v>2364.88</v>
      </c>
      <c r="F139" s="7">
        <v>314529.03999999998</v>
      </c>
    </row>
    <row r="140" spans="1:6" x14ac:dyDescent="0.3">
      <c r="A140" s="4" t="s">
        <v>280</v>
      </c>
      <c r="B140" s="5">
        <v>46183</v>
      </c>
      <c r="C140" s="4" t="s">
        <v>281</v>
      </c>
      <c r="D140" s="6">
        <v>67</v>
      </c>
      <c r="E140" s="7">
        <v>2019.94</v>
      </c>
      <c r="F140" s="7">
        <v>135335.98000000001</v>
      </c>
    </row>
    <row r="141" spans="1:6" x14ac:dyDescent="0.3">
      <c r="A141" s="4" t="s">
        <v>282</v>
      </c>
      <c r="B141" s="5">
        <v>46219</v>
      </c>
      <c r="C141" s="4" t="s">
        <v>283</v>
      </c>
      <c r="D141" s="6">
        <v>121</v>
      </c>
      <c r="E141" s="7">
        <v>2283.9699999999998</v>
      </c>
      <c r="F141" s="7">
        <v>276360.37</v>
      </c>
    </row>
    <row r="142" spans="1:6" x14ac:dyDescent="0.3">
      <c r="A142" s="4" t="s">
        <v>284</v>
      </c>
      <c r="B142" s="5">
        <v>46045</v>
      </c>
      <c r="C142" s="4" t="s">
        <v>285</v>
      </c>
      <c r="D142" s="6">
        <v>187</v>
      </c>
      <c r="E142" s="7">
        <v>2551.56</v>
      </c>
      <c r="F142" s="7">
        <v>477141.72</v>
      </c>
    </row>
    <row r="143" spans="1:6" x14ac:dyDescent="0.3">
      <c r="A143" s="4" t="s">
        <v>286</v>
      </c>
      <c r="B143" s="5">
        <v>46064</v>
      </c>
      <c r="C143" s="4" t="s">
        <v>287</v>
      </c>
      <c r="D143" s="6">
        <v>66</v>
      </c>
      <c r="E143" s="7">
        <v>2199.77</v>
      </c>
      <c r="F143" s="7">
        <v>145184.82</v>
      </c>
    </row>
    <row r="144" spans="1:6" x14ac:dyDescent="0.3">
      <c r="A144" s="4" t="s">
        <v>288</v>
      </c>
      <c r="B144" s="5">
        <v>46087</v>
      </c>
      <c r="C144" s="4" t="s">
        <v>289</v>
      </c>
      <c r="D144" s="6">
        <v>134</v>
      </c>
      <c r="E144" s="7">
        <v>2470.1</v>
      </c>
      <c r="F144" s="7">
        <v>330993.40000000002</v>
      </c>
    </row>
    <row r="145" spans="1:6" x14ac:dyDescent="0.3">
      <c r="A145" s="4" t="s">
        <v>290</v>
      </c>
      <c r="B145" s="5">
        <v>46127</v>
      </c>
      <c r="C145" s="4" t="s">
        <v>291</v>
      </c>
      <c r="D145" s="6">
        <v>215</v>
      </c>
      <c r="E145" s="7">
        <v>2112.29</v>
      </c>
      <c r="F145" s="7">
        <v>454142.35</v>
      </c>
    </row>
    <row r="146" spans="1:6" x14ac:dyDescent="0.3">
      <c r="A146" s="4" t="s">
        <v>292</v>
      </c>
      <c r="B146" s="5">
        <v>46162</v>
      </c>
      <c r="C146" s="4" t="s">
        <v>293</v>
      </c>
      <c r="D146" s="6">
        <v>308</v>
      </c>
      <c r="E146" s="7">
        <v>2385.36</v>
      </c>
      <c r="F146" s="7">
        <v>734690.88</v>
      </c>
    </row>
    <row r="147" spans="1:6" x14ac:dyDescent="0.3">
      <c r="A147" s="4" t="s">
        <v>294</v>
      </c>
      <c r="B147" s="5">
        <v>46202</v>
      </c>
      <c r="C147" s="4" t="s">
        <v>295</v>
      </c>
      <c r="D147" s="6">
        <v>120</v>
      </c>
      <c r="E147" s="7">
        <v>21.95</v>
      </c>
      <c r="F147" s="7">
        <v>2634</v>
      </c>
    </row>
    <row r="148" spans="1:6" x14ac:dyDescent="0.3">
      <c r="A148" s="4" t="s">
        <v>296</v>
      </c>
      <c r="B148" s="5">
        <v>46206</v>
      </c>
      <c r="C148" s="4" t="s">
        <v>297</v>
      </c>
      <c r="D148" s="6">
        <v>4</v>
      </c>
      <c r="E148" s="7">
        <v>34.43</v>
      </c>
      <c r="F148" s="7">
        <v>137.72</v>
      </c>
    </row>
    <row r="149" spans="1:6" x14ac:dyDescent="0.3">
      <c r="A149" s="4" t="s">
        <v>298</v>
      </c>
      <c r="B149" s="5">
        <v>46032</v>
      </c>
      <c r="C149" s="4" t="s">
        <v>299</v>
      </c>
      <c r="D149" s="6">
        <v>28</v>
      </c>
      <c r="E149" s="7">
        <v>55.75</v>
      </c>
      <c r="F149" s="7">
        <v>1561</v>
      </c>
    </row>
    <row r="150" spans="1:6" x14ac:dyDescent="0.3">
      <c r="A150" s="4" t="s">
        <v>300</v>
      </c>
      <c r="B150" s="5">
        <v>46057</v>
      </c>
      <c r="C150" s="4" t="s">
        <v>301</v>
      </c>
      <c r="D150" s="6">
        <v>65</v>
      </c>
      <c r="E150" s="7">
        <v>62.21</v>
      </c>
      <c r="F150" s="7">
        <v>4043.65</v>
      </c>
    </row>
    <row r="151" spans="1:6" x14ac:dyDescent="0.3">
      <c r="A151" s="4" t="s">
        <v>302</v>
      </c>
      <c r="B151" s="5">
        <v>46105</v>
      </c>
      <c r="C151" s="4" t="s">
        <v>303</v>
      </c>
      <c r="D151" s="6">
        <v>37</v>
      </c>
      <c r="E151" s="7">
        <v>86.27</v>
      </c>
      <c r="F151" s="7">
        <v>3191.99</v>
      </c>
    </row>
    <row r="152" spans="1:6" x14ac:dyDescent="0.3">
      <c r="A152" s="4" t="s">
        <v>304</v>
      </c>
      <c r="B152" s="5">
        <v>46116</v>
      </c>
      <c r="C152" s="4" t="s">
        <v>305</v>
      </c>
      <c r="D152" s="6">
        <v>76</v>
      </c>
      <c r="E152" s="7">
        <v>113.9</v>
      </c>
      <c r="F152" s="7">
        <v>8656.4</v>
      </c>
    </row>
    <row r="153" spans="1:6" x14ac:dyDescent="0.3">
      <c r="A153" s="4" t="s">
        <v>306</v>
      </c>
      <c r="B153" s="5">
        <v>46149</v>
      </c>
      <c r="C153" s="4" t="s">
        <v>307</v>
      </c>
      <c r="D153" s="6">
        <v>127</v>
      </c>
      <c r="E153" s="7">
        <v>113.51</v>
      </c>
      <c r="F153" s="7">
        <v>14415.77</v>
      </c>
    </row>
    <row r="154" spans="1:6" x14ac:dyDescent="0.3">
      <c r="A154" s="4" t="s">
        <v>308</v>
      </c>
      <c r="B154" s="5">
        <v>46191</v>
      </c>
      <c r="C154" s="4" t="s">
        <v>309</v>
      </c>
      <c r="D154" s="6">
        <v>44</v>
      </c>
      <c r="E154" s="7">
        <v>143.87</v>
      </c>
      <c r="F154" s="7">
        <v>6330.28</v>
      </c>
    </row>
    <row r="155" spans="1:6" x14ac:dyDescent="0.3">
      <c r="A155" s="4" t="s">
        <v>310</v>
      </c>
      <c r="B155" s="5">
        <v>46224</v>
      </c>
      <c r="C155" s="4" t="s">
        <v>311</v>
      </c>
      <c r="D155" s="6">
        <v>97</v>
      </c>
      <c r="E155" s="7">
        <v>137.44999999999999</v>
      </c>
      <c r="F155" s="7">
        <v>13332.65</v>
      </c>
    </row>
    <row r="156" spans="1:6" x14ac:dyDescent="0.3">
      <c r="A156" s="4" t="s">
        <v>312</v>
      </c>
      <c r="B156" s="5">
        <v>46050</v>
      </c>
      <c r="C156" s="4" t="s">
        <v>313</v>
      </c>
      <c r="D156" s="6">
        <v>162</v>
      </c>
      <c r="E156" s="7">
        <v>170.56</v>
      </c>
      <c r="F156" s="7">
        <v>27630.720000000001</v>
      </c>
    </row>
    <row r="157" spans="1:6" x14ac:dyDescent="0.3">
      <c r="A157" s="4" t="s">
        <v>314</v>
      </c>
      <c r="B157" s="5">
        <v>46078</v>
      </c>
      <c r="C157" s="4" t="s">
        <v>315</v>
      </c>
      <c r="D157" s="6">
        <v>240</v>
      </c>
      <c r="E157" s="7">
        <v>207.23</v>
      </c>
      <c r="F157" s="7">
        <v>49735.199999999997</v>
      </c>
    </row>
    <row r="158" spans="1:6" x14ac:dyDescent="0.3">
      <c r="A158" s="4" t="s">
        <v>316</v>
      </c>
      <c r="B158" s="5">
        <v>46092</v>
      </c>
      <c r="C158" s="4" t="s">
        <v>317</v>
      </c>
      <c r="D158" s="6">
        <v>91</v>
      </c>
      <c r="E158" s="7">
        <v>193.95</v>
      </c>
      <c r="F158" s="7">
        <v>17649.45</v>
      </c>
    </row>
    <row r="159" spans="1:6" x14ac:dyDescent="0.3">
      <c r="A159" s="4" t="s">
        <v>318</v>
      </c>
      <c r="B159" s="5">
        <v>46135</v>
      </c>
      <c r="C159" s="4" t="s">
        <v>319</v>
      </c>
      <c r="D159" s="6">
        <v>171</v>
      </c>
      <c r="E159" s="7">
        <v>233.36</v>
      </c>
      <c r="F159" s="7">
        <v>39904.559999999998</v>
      </c>
    </row>
    <row r="160" spans="1:6" x14ac:dyDescent="0.3">
      <c r="A160" s="4" t="s">
        <v>320</v>
      </c>
      <c r="B160" s="5">
        <v>46167</v>
      </c>
      <c r="C160" s="4" t="s">
        <v>321</v>
      </c>
      <c r="D160" s="6">
        <v>263</v>
      </c>
      <c r="E160" s="7">
        <v>214.06</v>
      </c>
      <c r="F160" s="7">
        <v>56297.78</v>
      </c>
    </row>
    <row r="161" spans="1:6" x14ac:dyDescent="0.3">
      <c r="A161" s="4" t="s">
        <v>322</v>
      </c>
      <c r="B161" s="5">
        <v>46180</v>
      </c>
      <c r="C161" s="4" t="s">
        <v>323</v>
      </c>
      <c r="D161" s="6">
        <v>369</v>
      </c>
      <c r="E161" s="7">
        <v>256.20999999999998</v>
      </c>
      <c r="F161" s="7">
        <v>94541.49</v>
      </c>
    </row>
    <row r="162" spans="1:6" x14ac:dyDescent="0.3">
      <c r="A162" s="4" t="s">
        <v>324</v>
      </c>
      <c r="B162" s="5">
        <v>46211</v>
      </c>
      <c r="C162" s="4" t="s">
        <v>325</v>
      </c>
      <c r="D162" s="6">
        <v>11</v>
      </c>
      <c r="E162" s="7">
        <v>230.88</v>
      </c>
      <c r="F162" s="7">
        <v>2539.6799999999998</v>
      </c>
    </row>
    <row r="163" spans="1:6" x14ac:dyDescent="0.3">
      <c r="A163" s="4" t="s">
        <v>326</v>
      </c>
      <c r="B163" s="5">
        <v>46037</v>
      </c>
      <c r="C163" s="4" t="s">
        <v>327</v>
      </c>
      <c r="D163" s="6">
        <v>34</v>
      </c>
      <c r="E163" s="7">
        <v>275.77</v>
      </c>
      <c r="F163" s="7">
        <v>9376.18</v>
      </c>
    </row>
    <row r="164" spans="1:6" x14ac:dyDescent="0.3">
      <c r="A164" s="4" t="s">
        <v>328</v>
      </c>
      <c r="B164" s="5">
        <v>46071</v>
      </c>
      <c r="C164" s="4" t="s">
        <v>329</v>
      </c>
      <c r="D164" s="6">
        <v>70</v>
      </c>
      <c r="E164" s="7">
        <v>324.22000000000003</v>
      </c>
      <c r="F164" s="7">
        <v>22695.4</v>
      </c>
    </row>
    <row r="165" spans="1:6" x14ac:dyDescent="0.3">
      <c r="A165" s="4" t="s">
        <v>330</v>
      </c>
      <c r="B165" s="5">
        <v>46110</v>
      </c>
      <c r="C165" s="4" t="s">
        <v>331</v>
      </c>
      <c r="D165" s="6">
        <v>119</v>
      </c>
      <c r="E165" s="7">
        <v>292.04000000000002</v>
      </c>
      <c r="F165" s="7">
        <v>34752.76</v>
      </c>
    </row>
    <row r="166" spans="1:6" x14ac:dyDescent="0.3">
      <c r="A166" s="4" t="s">
        <v>332</v>
      </c>
      <c r="B166" s="5">
        <v>46124</v>
      </c>
      <c r="C166" s="4" t="s">
        <v>333</v>
      </c>
      <c r="D166" s="6">
        <v>63</v>
      </c>
      <c r="E166" s="7">
        <v>343.23</v>
      </c>
      <c r="F166" s="7">
        <v>21623.49</v>
      </c>
    </row>
    <row r="167" spans="1:6" x14ac:dyDescent="0.3">
      <c r="A167" s="4" t="s">
        <v>334</v>
      </c>
      <c r="B167" s="5">
        <v>46154</v>
      </c>
      <c r="C167" s="4" t="s">
        <v>335</v>
      </c>
      <c r="D167" s="6">
        <v>113</v>
      </c>
      <c r="E167" s="7">
        <v>305.02999999999997</v>
      </c>
      <c r="F167" s="7">
        <v>34468.39</v>
      </c>
    </row>
    <row r="168" spans="1:6" x14ac:dyDescent="0.3">
      <c r="A168" s="4" t="s">
        <v>336</v>
      </c>
      <c r="B168" s="5">
        <v>46199</v>
      </c>
      <c r="C168" s="4" t="s">
        <v>337</v>
      </c>
      <c r="D168" s="6">
        <v>176</v>
      </c>
      <c r="E168" s="7">
        <v>358.96</v>
      </c>
      <c r="F168" s="7">
        <v>63176.959999999999</v>
      </c>
    </row>
    <row r="169" spans="1:6" x14ac:dyDescent="0.3">
      <c r="A169" s="4" t="s">
        <v>338</v>
      </c>
      <c r="B169" s="5">
        <v>46229</v>
      </c>
      <c r="C169" s="4" t="s">
        <v>339</v>
      </c>
      <c r="D169" s="6">
        <v>65</v>
      </c>
      <c r="E169" s="7">
        <v>416.45</v>
      </c>
      <c r="F169" s="7">
        <v>27069.25</v>
      </c>
    </row>
    <row r="170" spans="1:6" x14ac:dyDescent="0.3">
      <c r="A170" s="4" t="s">
        <v>340</v>
      </c>
      <c r="B170" s="5">
        <v>46024</v>
      </c>
      <c r="C170" s="4" t="s">
        <v>341</v>
      </c>
      <c r="D170" s="6">
        <v>130</v>
      </c>
      <c r="E170" s="7">
        <v>371.39</v>
      </c>
      <c r="F170" s="7">
        <v>48280.7</v>
      </c>
    </row>
    <row r="171" spans="1:6" x14ac:dyDescent="0.3">
      <c r="A171" s="4" t="s">
        <v>342</v>
      </c>
      <c r="B171" s="5">
        <v>46064</v>
      </c>
      <c r="C171" s="4" t="s">
        <v>343</v>
      </c>
      <c r="D171" s="6">
        <v>207</v>
      </c>
      <c r="E171" s="7">
        <v>431.63</v>
      </c>
      <c r="F171" s="7">
        <v>89347.41</v>
      </c>
    </row>
    <row r="172" spans="1:6" x14ac:dyDescent="0.3">
      <c r="A172" s="4" t="s">
        <v>344</v>
      </c>
      <c r="B172" s="5">
        <v>46097</v>
      </c>
      <c r="C172" s="4" t="s">
        <v>345</v>
      </c>
      <c r="D172" s="6">
        <v>297</v>
      </c>
      <c r="E172" s="7">
        <v>380.54</v>
      </c>
      <c r="F172" s="7">
        <v>113020.38</v>
      </c>
    </row>
    <row r="173" spans="1:6" x14ac:dyDescent="0.3">
      <c r="A173" s="4" t="s">
        <v>346</v>
      </c>
      <c r="B173" s="5">
        <v>46113</v>
      </c>
      <c r="C173" s="4" t="s">
        <v>347</v>
      </c>
      <c r="D173" s="6">
        <v>120</v>
      </c>
      <c r="E173" s="7">
        <v>443.51</v>
      </c>
      <c r="F173" s="7">
        <v>53221.2</v>
      </c>
    </row>
    <row r="174" spans="1:6" x14ac:dyDescent="0.3">
      <c r="A174" s="4" t="s">
        <v>348</v>
      </c>
      <c r="B174" s="5">
        <v>46172</v>
      </c>
      <c r="C174" s="4" t="s">
        <v>349</v>
      </c>
      <c r="D174" s="6">
        <v>212</v>
      </c>
      <c r="E174" s="7">
        <v>510.05</v>
      </c>
      <c r="F174" s="7">
        <v>108130.6</v>
      </c>
    </row>
    <row r="175" spans="1:6" x14ac:dyDescent="0.3">
      <c r="A175" s="4" t="s">
        <v>350</v>
      </c>
      <c r="B175" s="5">
        <v>46188</v>
      </c>
      <c r="C175" s="4" t="s">
        <v>351</v>
      </c>
      <c r="D175" s="6">
        <v>17</v>
      </c>
      <c r="E175" s="7">
        <v>452.11</v>
      </c>
      <c r="F175" s="7">
        <v>7685.87</v>
      </c>
    </row>
    <row r="176" spans="1:6" x14ac:dyDescent="0.3">
      <c r="A176" s="4" t="s">
        <v>352</v>
      </c>
      <c r="B176" s="5">
        <v>46216</v>
      </c>
      <c r="C176" s="4" t="s">
        <v>353</v>
      </c>
      <c r="D176" s="6">
        <v>70</v>
      </c>
      <c r="E176" s="7">
        <v>446.9</v>
      </c>
      <c r="F176" s="7">
        <v>31283</v>
      </c>
    </row>
    <row r="177" spans="1:6" x14ac:dyDescent="0.3">
      <c r="A177" s="4" t="s">
        <v>354</v>
      </c>
      <c r="B177" s="5">
        <v>46042</v>
      </c>
      <c r="C177" s="4" t="s">
        <v>355</v>
      </c>
      <c r="D177" s="6">
        <v>32</v>
      </c>
      <c r="E177" s="7">
        <v>457.43</v>
      </c>
      <c r="F177" s="7">
        <v>14637.76</v>
      </c>
    </row>
    <row r="178" spans="1:6" x14ac:dyDescent="0.3">
      <c r="A178" s="4" t="s">
        <v>356</v>
      </c>
      <c r="B178" s="5">
        <v>46057</v>
      </c>
      <c r="C178" s="4" t="s">
        <v>357</v>
      </c>
      <c r="D178" s="6">
        <v>68</v>
      </c>
      <c r="E178" s="7">
        <v>529.44000000000005</v>
      </c>
      <c r="F178" s="7">
        <v>36001.919999999998</v>
      </c>
    </row>
    <row r="179" spans="1:6" x14ac:dyDescent="0.3">
      <c r="A179" s="4" t="s">
        <v>358</v>
      </c>
      <c r="B179" s="5">
        <v>46084</v>
      </c>
      <c r="C179" s="4" t="s">
        <v>359</v>
      </c>
      <c r="D179" s="6">
        <v>116</v>
      </c>
      <c r="E179" s="7">
        <v>605.02</v>
      </c>
      <c r="F179" s="7">
        <v>70182.320000000007</v>
      </c>
    </row>
    <row r="180" spans="1:6" x14ac:dyDescent="0.3">
      <c r="A180" s="4" t="s">
        <v>360</v>
      </c>
      <c r="B180" s="5">
        <v>46132</v>
      </c>
      <c r="C180" s="4" t="s">
        <v>361</v>
      </c>
      <c r="D180" s="6">
        <v>42</v>
      </c>
      <c r="E180" s="7">
        <v>534.20000000000005</v>
      </c>
      <c r="F180" s="7">
        <v>22436.400000000001</v>
      </c>
    </row>
    <row r="181" spans="1:6" x14ac:dyDescent="0.3">
      <c r="A181" s="4" t="s">
        <v>362</v>
      </c>
      <c r="B181" s="5">
        <v>46159</v>
      </c>
      <c r="C181" s="4" t="s">
        <v>363</v>
      </c>
      <c r="D181" s="6">
        <v>92</v>
      </c>
      <c r="E181" s="7">
        <v>612.52</v>
      </c>
      <c r="F181" s="7">
        <v>56351.839999999997</v>
      </c>
    </row>
    <row r="182" spans="1:6" x14ac:dyDescent="0.3">
      <c r="A182" s="4" t="s">
        <v>364</v>
      </c>
      <c r="B182" s="5">
        <v>46177</v>
      </c>
      <c r="C182" s="4" t="s">
        <v>365</v>
      </c>
      <c r="D182" s="6">
        <v>154</v>
      </c>
      <c r="E182" s="7">
        <v>535.67999999999995</v>
      </c>
      <c r="F182" s="7">
        <v>82494.720000000001</v>
      </c>
    </row>
    <row r="183" spans="1:6" x14ac:dyDescent="0.3">
      <c r="A183" s="4" t="s">
        <v>366</v>
      </c>
      <c r="B183" s="5">
        <v>46234</v>
      </c>
      <c r="C183" s="4" t="s">
        <v>367</v>
      </c>
      <c r="D183" s="6">
        <v>230</v>
      </c>
      <c r="E183" s="7">
        <v>616.74</v>
      </c>
      <c r="F183" s="7">
        <v>141850.20000000001</v>
      </c>
    </row>
    <row r="184" spans="1:6" x14ac:dyDescent="0.3">
      <c r="A184" s="4" t="s">
        <v>368</v>
      </c>
      <c r="B184" s="5">
        <v>46029</v>
      </c>
      <c r="C184" s="4" t="s">
        <v>369</v>
      </c>
      <c r="D184" s="6">
        <v>144</v>
      </c>
      <c r="E184" s="7">
        <v>376.85</v>
      </c>
      <c r="F184" s="7">
        <v>54266.400000000001</v>
      </c>
    </row>
    <row r="185" spans="1:6" x14ac:dyDescent="0.3">
      <c r="A185" s="4" t="s">
        <v>370</v>
      </c>
      <c r="B185" s="5">
        <v>46078</v>
      </c>
      <c r="C185" s="4" t="s">
        <v>371</v>
      </c>
      <c r="D185" s="6">
        <v>167</v>
      </c>
      <c r="E185" s="7">
        <v>617.66999999999996</v>
      </c>
      <c r="F185" s="7">
        <v>103150.89</v>
      </c>
    </row>
    <row r="186" spans="1:6" x14ac:dyDescent="0.3">
      <c r="A186" s="4" t="s">
        <v>372</v>
      </c>
      <c r="B186" s="5">
        <v>46102</v>
      </c>
      <c r="C186" s="4" t="s">
        <v>373</v>
      </c>
      <c r="D186" s="6">
        <v>256</v>
      </c>
      <c r="E186" s="7">
        <v>705.02</v>
      </c>
      <c r="F186" s="7">
        <v>180485.12</v>
      </c>
    </row>
    <row r="187" spans="1:6" x14ac:dyDescent="0.3">
      <c r="A187" s="4" t="s">
        <v>374</v>
      </c>
      <c r="B187" s="5">
        <v>46121</v>
      </c>
      <c r="C187" s="4" t="s">
        <v>375</v>
      </c>
      <c r="D187" s="6">
        <v>358</v>
      </c>
      <c r="E187" s="7">
        <v>615.30999999999995</v>
      </c>
      <c r="F187" s="7">
        <v>220280.98</v>
      </c>
    </row>
    <row r="188" spans="1:6" x14ac:dyDescent="0.3">
      <c r="A188" s="4" t="s">
        <v>376</v>
      </c>
      <c r="B188" s="5">
        <v>46146</v>
      </c>
      <c r="C188" s="4" t="s">
        <v>377</v>
      </c>
      <c r="D188" s="6">
        <v>5</v>
      </c>
      <c r="E188" s="7">
        <v>705.4</v>
      </c>
      <c r="F188" s="7">
        <v>3527</v>
      </c>
    </row>
    <row r="189" spans="1:6" x14ac:dyDescent="0.3">
      <c r="A189" s="4" t="s">
        <v>378</v>
      </c>
      <c r="B189" s="5">
        <v>46196</v>
      </c>
      <c r="C189" s="4" t="s">
        <v>379</v>
      </c>
      <c r="D189" s="6">
        <v>25</v>
      </c>
      <c r="E189" s="7">
        <v>799.07</v>
      </c>
      <c r="F189" s="7">
        <v>19976.75</v>
      </c>
    </row>
    <row r="190" spans="1:6" x14ac:dyDescent="0.3">
      <c r="A190" s="4" t="s">
        <v>380</v>
      </c>
      <c r="B190" s="5">
        <v>46221</v>
      </c>
      <c r="C190" s="4" t="s">
        <v>381</v>
      </c>
      <c r="D190" s="6">
        <v>58</v>
      </c>
      <c r="E190" s="7">
        <v>702.5</v>
      </c>
      <c r="F190" s="7">
        <v>40745</v>
      </c>
    </row>
    <row r="191" spans="1:6" x14ac:dyDescent="0.3">
      <c r="A191" s="4" t="s">
        <v>382</v>
      </c>
      <c r="B191" s="5">
        <v>46047</v>
      </c>
      <c r="C191" s="4" t="s">
        <v>383</v>
      </c>
      <c r="D191" s="6">
        <v>23</v>
      </c>
      <c r="E191" s="7">
        <v>798.9</v>
      </c>
      <c r="F191" s="7">
        <v>18374.7</v>
      </c>
    </row>
    <row r="192" spans="1:6" x14ac:dyDescent="0.3">
      <c r="A192" s="4" t="s">
        <v>384</v>
      </c>
      <c r="B192" s="5">
        <v>46071</v>
      </c>
      <c r="C192" s="4" t="s">
        <v>385</v>
      </c>
      <c r="D192" s="6">
        <v>58</v>
      </c>
      <c r="E192" s="7">
        <v>696.3</v>
      </c>
      <c r="F192" s="7">
        <v>40385.4</v>
      </c>
    </row>
    <row r="193" spans="1:6" x14ac:dyDescent="0.3">
      <c r="A193" s="4" t="s">
        <v>386</v>
      </c>
      <c r="B193" s="5">
        <v>46089</v>
      </c>
      <c r="C193" s="4" t="s">
        <v>387</v>
      </c>
      <c r="D193" s="6">
        <v>105</v>
      </c>
      <c r="E193" s="7">
        <v>795.44</v>
      </c>
      <c r="F193" s="7">
        <v>83521.2</v>
      </c>
    </row>
    <row r="194" spans="1:6" x14ac:dyDescent="0.3">
      <c r="A194" s="4" t="s">
        <v>388</v>
      </c>
      <c r="B194" s="5">
        <v>46140</v>
      </c>
      <c r="C194" s="4" t="s">
        <v>389</v>
      </c>
      <c r="D194" s="6">
        <v>165</v>
      </c>
      <c r="E194" s="7">
        <v>686.82</v>
      </c>
      <c r="F194" s="7">
        <v>113325.3</v>
      </c>
    </row>
    <row r="195" spans="1:6" x14ac:dyDescent="0.3">
      <c r="A195" s="4" t="s">
        <v>390</v>
      </c>
      <c r="B195" s="5">
        <v>46164</v>
      </c>
      <c r="C195" s="4" t="s">
        <v>391</v>
      </c>
      <c r="D195" s="6">
        <v>63</v>
      </c>
      <c r="E195" s="7">
        <v>788.7</v>
      </c>
      <c r="F195" s="7">
        <v>49688.1</v>
      </c>
    </row>
    <row r="196" spans="1:6" x14ac:dyDescent="0.3">
      <c r="A196" s="4" t="s">
        <v>392</v>
      </c>
      <c r="B196" s="5">
        <v>46185</v>
      </c>
      <c r="C196" s="4" t="s">
        <v>393</v>
      </c>
      <c r="D196" s="6">
        <v>125</v>
      </c>
      <c r="E196" s="7">
        <v>894.14</v>
      </c>
      <c r="F196" s="7">
        <v>111767.5</v>
      </c>
    </row>
    <row r="197" spans="1:6" x14ac:dyDescent="0.3">
      <c r="A197" s="4" t="s">
        <v>394</v>
      </c>
      <c r="B197" s="5">
        <v>46208</v>
      </c>
      <c r="C197" s="4" t="s">
        <v>395</v>
      </c>
      <c r="D197" s="6">
        <v>200</v>
      </c>
      <c r="E197" s="7">
        <v>778.67</v>
      </c>
      <c r="F197" s="7">
        <v>155734</v>
      </c>
    </row>
    <row r="198" spans="1:6" x14ac:dyDescent="0.3">
      <c r="A198" s="4" t="s">
        <v>396</v>
      </c>
      <c r="B198" s="5">
        <v>46034</v>
      </c>
      <c r="C198" s="4" t="s">
        <v>397</v>
      </c>
      <c r="D198" s="6">
        <v>287</v>
      </c>
      <c r="E198" s="7">
        <v>886.85</v>
      </c>
      <c r="F198" s="7">
        <v>254525.95</v>
      </c>
    </row>
    <row r="199" spans="1:6" x14ac:dyDescent="0.3">
      <c r="A199" s="4" t="s">
        <v>398</v>
      </c>
      <c r="B199" s="5">
        <v>46064</v>
      </c>
      <c r="C199" s="4" t="s">
        <v>399</v>
      </c>
      <c r="D199" s="6">
        <v>119</v>
      </c>
      <c r="E199" s="7">
        <v>765.35</v>
      </c>
      <c r="F199" s="7">
        <v>91076.65</v>
      </c>
    </row>
    <row r="200" spans="1:6" x14ac:dyDescent="0.3">
      <c r="A200" s="4" t="s">
        <v>400</v>
      </c>
      <c r="B200" s="5">
        <v>46107</v>
      </c>
      <c r="C200" s="4" t="s">
        <v>401</v>
      </c>
      <c r="D200" s="6">
        <v>207</v>
      </c>
      <c r="E200" s="7">
        <v>876.27</v>
      </c>
      <c r="F200" s="7">
        <v>181387.89</v>
      </c>
    </row>
    <row r="201" spans="1:6" x14ac:dyDescent="0.3">
      <c r="A201" s="4" t="s">
        <v>402</v>
      </c>
      <c r="B201" s="5">
        <v>46129</v>
      </c>
      <c r="C201" s="4" t="s">
        <v>403</v>
      </c>
      <c r="D201" s="6">
        <v>309</v>
      </c>
      <c r="E201" s="7">
        <v>990.75</v>
      </c>
      <c r="F201" s="7">
        <v>306141.75</v>
      </c>
    </row>
    <row r="202" spans="1:6" x14ac:dyDescent="0.3">
      <c r="A202" s="4" t="s">
        <v>404</v>
      </c>
      <c r="B202" s="5">
        <v>46151</v>
      </c>
      <c r="C202" s="4" t="s">
        <v>405</v>
      </c>
      <c r="D202" s="6">
        <v>35</v>
      </c>
      <c r="E202" s="7">
        <v>862.4</v>
      </c>
      <c r="F202" s="7">
        <v>30184</v>
      </c>
    </row>
    <row r="203" spans="1:6" x14ac:dyDescent="0.3">
      <c r="A203" s="4" t="s">
        <v>406</v>
      </c>
      <c r="B203" s="5">
        <v>46174</v>
      </c>
      <c r="C203" s="4" t="s">
        <v>407</v>
      </c>
      <c r="D203" s="6">
        <v>27</v>
      </c>
      <c r="E203" s="7">
        <v>979.63</v>
      </c>
      <c r="F203" s="7">
        <v>26450.01</v>
      </c>
    </row>
    <row r="204" spans="1:6" x14ac:dyDescent="0.3">
      <c r="A204" s="4" t="s">
        <v>408</v>
      </c>
      <c r="B204" s="5">
        <v>46226</v>
      </c>
      <c r="C204" s="4" t="s">
        <v>409</v>
      </c>
      <c r="D204" s="6">
        <v>59</v>
      </c>
      <c r="E204" s="7">
        <v>845.24</v>
      </c>
      <c r="F204" s="7">
        <v>49869.16</v>
      </c>
    </row>
    <row r="205" spans="1:6" x14ac:dyDescent="0.3">
      <c r="A205" s="4" t="s">
        <v>410</v>
      </c>
      <c r="B205" s="5">
        <v>46052</v>
      </c>
      <c r="C205" s="4" t="s">
        <v>411</v>
      </c>
      <c r="D205" s="6">
        <v>104</v>
      </c>
      <c r="E205" s="7">
        <v>965.21</v>
      </c>
      <c r="F205" s="7">
        <v>100381.84</v>
      </c>
    </row>
    <row r="206" spans="1:6" x14ac:dyDescent="0.3">
      <c r="A206" s="4" t="s">
        <v>412</v>
      </c>
      <c r="B206" s="5">
        <v>46057</v>
      </c>
      <c r="C206" s="4" t="s">
        <v>413</v>
      </c>
      <c r="D206" s="6">
        <v>40</v>
      </c>
      <c r="E206" s="7">
        <v>1088.74</v>
      </c>
      <c r="F206" s="7">
        <v>43549.599999999999</v>
      </c>
    </row>
    <row r="207" spans="1:6" x14ac:dyDescent="0.3">
      <c r="A207" s="4" t="s">
        <v>414</v>
      </c>
      <c r="B207" s="5">
        <v>46094</v>
      </c>
      <c r="C207" s="4" t="s">
        <v>415</v>
      </c>
      <c r="D207" s="6">
        <v>87</v>
      </c>
      <c r="E207" s="7">
        <v>947.51</v>
      </c>
      <c r="F207" s="7">
        <v>82433.37</v>
      </c>
    </row>
    <row r="208" spans="1:6" x14ac:dyDescent="0.3">
      <c r="A208" s="4" t="s">
        <v>416</v>
      </c>
      <c r="B208" s="5">
        <v>46118</v>
      </c>
      <c r="C208" s="4" t="s">
        <v>417</v>
      </c>
      <c r="D208" s="6">
        <v>146</v>
      </c>
      <c r="E208" s="7">
        <v>1073.77</v>
      </c>
      <c r="F208" s="7">
        <v>156770.42000000001</v>
      </c>
    </row>
    <row r="209" spans="1:6" x14ac:dyDescent="0.3">
      <c r="A209" s="4" t="s">
        <v>418</v>
      </c>
      <c r="B209" s="5">
        <v>46169</v>
      </c>
      <c r="C209" s="4" t="s">
        <v>419</v>
      </c>
      <c r="D209" s="6">
        <v>218</v>
      </c>
      <c r="E209" s="7">
        <v>926.51</v>
      </c>
      <c r="F209" s="7">
        <v>201979.18</v>
      </c>
    </row>
    <row r="210" spans="1:6" x14ac:dyDescent="0.3">
      <c r="A210" s="4" t="s">
        <v>420</v>
      </c>
      <c r="B210" s="5">
        <v>46193</v>
      </c>
      <c r="C210" s="4" t="s">
        <v>421</v>
      </c>
      <c r="D210" s="6">
        <v>88</v>
      </c>
      <c r="E210" s="7">
        <v>1055.52</v>
      </c>
      <c r="F210" s="7">
        <v>92885.759999999995</v>
      </c>
    </row>
    <row r="211" spans="1:6" x14ac:dyDescent="0.3">
      <c r="A211" s="4" t="s">
        <v>422</v>
      </c>
      <c r="B211" s="5">
        <v>46213</v>
      </c>
      <c r="C211" s="4" t="s">
        <v>423</v>
      </c>
      <c r="D211" s="6">
        <v>162</v>
      </c>
      <c r="E211" s="7">
        <v>1188.0899999999999</v>
      </c>
      <c r="F211" s="7">
        <v>192470.58</v>
      </c>
    </row>
    <row r="212" spans="1:6" x14ac:dyDescent="0.3">
      <c r="A212" s="4" t="s">
        <v>424</v>
      </c>
      <c r="B212" s="5">
        <v>46039</v>
      </c>
      <c r="C212" s="4" t="s">
        <v>425</v>
      </c>
      <c r="D212" s="6">
        <v>249</v>
      </c>
      <c r="E212" s="7">
        <v>1033.98</v>
      </c>
      <c r="F212" s="7">
        <v>257461.02</v>
      </c>
    </row>
    <row r="213" spans="1:6" x14ac:dyDescent="0.3">
      <c r="A213" s="4" t="s">
        <v>426</v>
      </c>
      <c r="B213" s="5">
        <v>46078</v>
      </c>
      <c r="C213" s="4" t="s">
        <v>427</v>
      </c>
      <c r="D213" s="6">
        <v>348</v>
      </c>
      <c r="E213" s="7">
        <v>1169.29</v>
      </c>
      <c r="F213" s="7">
        <v>406912.92</v>
      </c>
    </row>
    <row r="214" spans="1:6" x14ac:dyDescent="0.3">
      <c r="A214" s="4" t="s">
        <v>428</v>
      </c>
      <c r="B214" s="5">
        <v>46112</v>
      </c>
      <c r="C214" s="4" t="s">
        <v>429</v>
      </c>
      <c r="D214" s="6">
        <v>151</v>
      </c>
      <c r="E214" s="7">
        <v>1009.15</v>
      </c>
      <c r="F214" s="7">
        <v>152381.65</v>
      </c>
    </row>
    <row r="215" spans="1:6" x14ac:dyDescent="0.3">
      <c r="A215" s="4" t="s">
        <v>430</v>
      </c>
      <c r="B215" s="5">
        <v>46137</v>
      </c>
      <c r="C215" s="4" t="s">
        <v>431</v>
      </c>
      <c r="D215" s="6">
        <v>16</v>
      </c>
      <c r="E215" s="7">
        <v>1147.2</v>
      </c>
      <c r="F215" s="7">
        <v>18355.2</v>
      </c>
    </row>
    <row r="216" spans="1:6" x14ac:dyDescent="0.3">
      <c r="A216" s="4" t="s">
        <v>432</v>
      </c>
      <c r="B216" s="5">
        <v>46156</v>
      </c>
      <c r="C216" s="4" t="s">
        <v>433</v>
      </c>
      <c r="D216" s="6">
        <v>46</v>
      </c>
      <c r="E216" s="7">
        <v>1288.81</v>
      </c>
      <c r="F216" s="7">
        <v>59285.26</v>
      </c>
    </row>
    <row r="217" spans="1:6" x14ac:dyDescent="0.3">
      <c r="A217" s="4" t="s">
        <v>434</v>
      </c>
      <c r="B217" s="5">
        <v>46182</v>
      </c>
      <c r="C217" s="4" t="s">
        <v>435</v>
      </c>
      <c r="D217" s="6">
        <v>20</v>
      </c>
      <c r="E217" s="7">
        <v>1121.83</v>
      </c>
      <c r="F217" s="7">
        <v>22436.6</v>
      </c>
    </row>
    <row r="218" spans="1:6" x14ac:dyDescent="0.3">
      <c r="A218" s="4" t="s">
        <v>436</v>
      </c>
      <c r="B218" s="5">
        <v>46231</v>
      </c>
      <c r="C218" s="4" t="s">
        <v>437</v>
      </c>
      <c r="D218" s="6">
        <v>52</v>
      </c>
      <c r="E218" s="7">
        <v>1266.18</v>
      </c>
      <c r="F218" s="7">
        <v>65841.36</v>
      </c>
    </row>
    <row r="219" spans="1:6" x14ac:dyDescent="0.3">
      <c r="A219" s="4" t="s">
        <v>438</v>
      </c>
      <c r="B219" s="5">
        <v>46026</v>
      </c>
      <c r="C219" s="4" t="s">
        <v>439</v>
      </c>
      <c r="D219" s="6">
        <v>96</v>
      </c>
      <c r="E219" s="7">
        <v>1093.1600000000001</v>
      </c>
      <c r="F219" s="7">
        <v>104943.36</v>
      </c>
    </row>
    <row r="220" spans="1:6" x14ac:dyDescent="0.3">
      <c r="A220" s="4" t="s">
        <v>440</v>
      </c>
      <c r="B220" s="5">
        <v>46071</v>
      </c>
      <c r="C220" s="4" t="s">
        <v>441</v>
      </c>
      <c r="D220" s="6">
        <v>154</v>
      </c>
      <c r="E220" s="7">
        <v>1240.25</v>
      </c>
      <c r="F220" s="7">
        <v>190998.5</v>
      </c>
    </row>
    <row r="221" spans="1:6" x14ac:dyDescent="0.3">
      <c r="A221" s="4" t="s">
        <v>442</v>
      </c>
      <c r="B221" s="5">
        <v>46099</v>
      </c>
      <c r="C221" s="4" t="s">
        <v>443</v>
      </c>
      <c r="D221" s="6">
        <v>61</v>
      </c>
      <c r="E221" s="7">
        <v>1390.91</v>
      </c>
      <c r="F221" s="7">
        <v>84845.51</v>
      </c>
    </row>
    <row r="222" spans="1:6" x14ac:dyDescent="0.3">
      <c r="A222" s="4" t="s">
        <v>444</v>
      </c>
      <c r="B222" s="5">
        <v>46126</v>
      </c>
      <c r="C222" s="4" t="s">
        <v>445</v>
      </c>
      <c r="D222" s="6">
        <v>120</v>
      </c>
      <c r="E222" s="7">
        <v>1211.04</v>
      </c>
      <c r="F222" s="7">
        <v>145324.79999999999</v>
      </c>
    </row>
    <row r="223" spans="1:6" x14ac:dyDescent="0.3">
      <c r="A223" s="4" t="s">
        <v>446</v>
      </c>
      <c r="B223" s="5">
        <v>46143</v>
      </c>
      <c r="C223" s="4" t="s">
        <v>447</v>
      </c>
      <c r="D223" s="6">
        <v>191</v>
      </c>
      <c r="E223" s="7">
        <v>1364.43</v>
      </c>
      <c r="F223" s="7">
        <v>260606.13</v>
      </c>
    </row>
    <row r="224" spans="1:6" x14ac:dyDescent="0.3">
      <c r="A224" s="4" t="s">
        <v>448</v>
      </c>
      <c r="B224" s="5">
        <v>46201</v>
      </c>
      <c r="C224" s="4" t="s">
        <v>449</v>
      </c>
      <c r="D224" s="6">
        <v>276</v>
      </c>
      <c r="E224" s="7">
        <v>1178.54</v>
      </c>
      <c r="F224" s="7">
        <v>325277.03999999998</v>
      </c>
    </row>
    <row r="225" spans="1:6" x14ac:dyDescent="0.3">
      <c r="A225" s="4" t="s">
        <v>450</v>
      </c>
      <c r="B225" s="5">
        <v>46218</v>
      </c>
      <c r="C225" s="4" t="s">
        <v>451</v>
      </c>
      <c r="D225" s="6">
        <v>117</v>
      </c>
      <c r="E225" s="7">
        <v>1334.67</v>
      </c>
      <c r="F225" s="7">
        <v>156156.39000000001</v>
      </c>
    </row>
    <row r="226" spans="1:6" x14ac:dyDescent="0.3">
      <c r="A226" s="4" t="s">
        <v>452</v>
      </c>
      <c r="B226" s="5">
        <v>46044</v>
      </c>
      <c r="C226" s="4" t="s">
        <v>453</v>
      </c>
      <c r="D226" s="6">
        <v>203</v>
      </c>
      <c r="E226" s="7">
        <v>1142.75</v>
      </c>
      <c r="F226" s="7">
        <v>231978.25</v>
      </c>
    </row>
    <row r="227" spans="1:6" x14ac:dyDescent="0.3">
      <c r="A227" s="4" t="s">
        <v>454</v>
      </c>
      <c r="B227" s="5">
        <v>46064</v>
      </c>
      <c r="C227" s="4" t="s">
        <v>455</v>
      </c>
      <c r="D227" s="6">
        <v>301</v>
      </c>
      <c r="E227" s="7">
        <v>1301.6300000000001</v>
      </c>
      <c r="F227" s="7">
        <v>391790.63</v>
      </c>
    </row>
    <row r="228" spans="1:6" x14ac:dyDescent="0.3">
      <c r="A228" s="4" t="s">
        <v>456</v>
      </c>
      <c r="B228" s="5">
        <v>46086</v>
      </c>
      <c r="C228" s="4" t="s">
        <v>457</v>
      </c>
      <c r="D228" s="6">
        <v>20</v>
      </c>
      <c r="E228" s="7">
        <v>1464.06</v>
      </c>
      <c r="F228" s="7">
        <v>29281.200000000001</v>
      </c>
    </row>
    <row r="229" spans="1:6" x14ac:dyDescent="0.3">
      <c r="A229" s="4" t="s">
        <v>458</v>
      </c>
      <c r="B229" s="5">
        <v>46115</v>
      </c>
      <c r="C229" s="4" t="s">
        <v>459</v>
      </c>
      <c r="D229" s="6">
        <v>21</v>
      </c>
      <c r="E229" s="7">
        <v>1265.29</v>
      </c>
      <c r="F229" s="7">
        <v>26571.09</v>
      </c>
    </row>
    <row r="230" spans="1:6" x14ac:dyDescent="0.3">
      <c r="A230" s="4" t="s">
        <v>460</v>
      </c>
      <c r="B230" s="5">
        <v>46161</v>
      </c>
      <c r="C230" s="4" t="s">
        <v>461</v>
      </c>
      <c r="D230" s="6">
        <v>50</v>
      </c>
      <c r="E230" s="7">
        <v>1430.46</v>
      </c>
      <c r="F230" s="7">
        <v>71523</v>
      </c>
    </row>
    <row r="231" spans="1:6" x14ac:dyDescent="0.3">
      <c r="A231" s="4" t="s">
        <v>462</v>
      </c>
      <c r="B231" s="5">
        <v>46190</v>
      </c>
      <c r="C231" s="4" t="s">
        <v>463</v>
      </c>
      <c r="D231" s="6">
        <v>92</v>
      </c>
      <c r="E231" s="7">
        <v>1225.67</v>
      </c>
      <c r="F231" s="7">
        <v>112761.64</v>
      </c>
    </row>
    <row r="232" spans="1:6" x14ac:dyDescent="0.3">
      <c r="A232" s="4" t="s">
        <v>464</v>
      </c>
      <c r="B232" s="5">
        <v>46205</v>
      </c>
      <c r="C232" s="4" t="s">
        <v>465</v>
      </c>
      <c r="D232" s="6">
        <v>38</v>
      </c>
      <c r="E232" s="7">
        <v>1393.58</v>
      </c>
      <c r="F232" s="7">
        <v>52956.04</v>
      </c>
    </row>
    <row r="233" spans="1:6" x14ac:dyDescent="0.3">
      <c r="A233" s="4" t="s">
        <v>466</v>
      </c>
      <c r="B233" s="5">
        <v>46031</v>
      </c>
      <c r="C233" s="4" t="s">
        <v>467</v>
      </c>
      <c r="D233" s="6">
        <v>81</v>
      </c>
      <c r="E233" s="7">
        <v>1565.06</v>
      </c>
      <c r="F233" s="7">
        <v>126769.86</v>
      </c>
    </row>
    <row r="234" spans="1:6" x14ac:dyDescent="0.3">
      <c r="A234" s="4" t="s">
        <v>468</v>
      </c>
      <c r="B234" s="5">
        <v>46057</v>
      </c>
      <c r="C234" s="4" t="s">
        <v>469</v>
      </c>
      <c r="D234" s="6">
        <v>138</v>
      </c>
      <c r="E234" s="7">
        <v>1353.41</v>
      </c>
      <c r="F234" s="7">
        <v>186770.58</v>
      </c>
    </row>
    <row r="235" spans="1:6" x14ac:dyDescent="0.3">
      <c r="A235" s="4" t="s">
        <v>470</v>
      </c>
      <c r="B235" s="5">
        <v>46104</v>
      </c>
      <c r="C235" s="4" t="s">
        <v>471</v>
      </c>
      <c r="D235" s="6">
        <v>207</v>
      </c>
      <c r="E235" s="7">
        <v>1527.63</v>
      </c>
      <c r="F235" s="7">
        <v>316219.40999999997</v>
      </c>
    </row>
    <row r="236" spans="1:6" x14ac:dyDescent="0.3">
      <c r="A236" s="4" t="s">
        <v>472</v>
      </c>
      <c r="B236" s="5">
        <v>46134</v>
      </c>
      <c r="C236" s="4" t="s">
        <v>473</v>
      </c>
      <c r="D236" s="6">
        <v>86</v>
      </c>
      <c r="E236" s="7">
        <v>1309.95</v>
      </c>
      <c r="F236" s="7">
        <v>112655.7</v>
      </c>
    </row>
    <row r="237" spans="1:6" x14ac:dyDescent="0.3">
      <c r="A237" s="4" t="s">
        <v>474</v>
      </c>
      <c r="B237" s="5">
        <v>46148</v>
      </c>
      <c r="C237" s="4" t="s">
        <v>475</v>
      </c>
      <c r="D237" s="6">
        <v>157</v>
      </c>
      <c r="E237" s="7">
        <v>1486.91</v>
      </c>
      <c r="F237" s="7">
        <v>233444.87</v>
      </c>
    </row>
    <row r="238" spans="1:6" x14ac:dyDescent="0.3">
      <c r="A238" s="4" t="s">
        <v>476</v>
      </c>
      <c r="B238" s="5">
        <v>46179</v>
      </c>
      <c r="C238" s="4" t="s">
        <v>477</v>
      </c>
      <c r="D238" s="6">
        <v>240</v>
      </c>
      <c r="E238" s="7">
        <v>1667.42</v>
      </c>
      <c r="F238" s="7">
        <v>400180.8</v>
      </c>
    </row>
    <row r="239" spans="1:6" x14ac:dyDescent="0.3">
      <c r="A239" s="4" t="s">
        <v>478</v>
      </c>
      <c r="B239" s="5">
        <v>46223</v>
      </c>
      <c r="C239" s="4" t="s">
        <v>479</v>
      </c>
      <c r="D239" s="6">
        <v>336</v>
      </c>
      <c r="E239" s="7">
        <v>1442.9</v>
      </c>
      <c r="F239" s="7">
        <v>484814.4</v>
      </c>
    </row>
    <row r="240" spans="1:6" x14ac:dyDescent="0.3">
      <c r="A240" s="4" t="s">
        <v>480</v>
      </c>
      <c r="B240" s="5">
        <v>46049</v>
      </c>
      <c r="C240" s="4" t="s">
        <v>481</v>
      </c>
      <c r="D240" s="6">
        <v>150</v>
      </c>
      <c r="E240" s="7">
        <v>1626.16</v>
      </c>
      <c r="F240" s="7">
        <v>243924</v>
      </c>
    </row>
    <row r="241" spans="1:6" x14ac:dyDescent="0.3">
      <c r="A241" s="4" t="s">
        <v>482</v>
      </c>
      <c r="B241" s="5">
        <v>46078</v>
      </c>
      <c r="C241" s="4" t="s">
        <v>483</v>
      </c>
      <c r="D241" s="6">
        <v>7</v>
      </c>
      <c r="E241" s="7">
        <v>978.22</v>
      </c>
      <c r="F241" s="7">
        <v>6847.54</v>
      </c>
    </row>
    <row r="242" spans="1:6" x14ac:dyDescent="0.3">
      <c r="A242" s="4" t="s">
        <v>484</v>
      </c>
      <c r="B242" s="5">
        <v>46091</v>
      </c>
      <c r="C242" s="4" t="s">
        <v>485</v>
      </c>
      <c r="D242" s="6">
        <v>34</v>
      </c>
      <c r="E242" s="7">
        <v>1581.6</v>
      </c>
      <c r="F242" s="7">
        <v>53774.400000000001</v>
      </c>
    </row>
    <row r="243" spans="1:6" x14ac:dyDescent="0.3">
      <c r="A243" s="4" t="s">
        <v>486</v>
      </c>
      <c r="B243" s="5">
        <v>46123</v>
      </c>
      <c r="C243" s="4" t="s">
        <v>487</v>
      </c>
      <c r="D243" s="6">
        <v>17</v>
      </c>
      <c r="E243" s="7">
        <v>1771.16</v>
      </c>
      <c r="F243" s="7">
        <v>30109.72</v>
      </c>
    </row>
    <row r="244" spans="1:6" x14ac:dyDescent="0.3">
      <c r="A244" s="4" t="s">
        <v>488</v>
      </c>
      <c r="B244" s="5">
        <v>46166</v>
      </c>
      <c r="C244" s="4" t="s">
        <v>489</v>
      </c>
      <c r="D244" s="6">
        <v>46</v>
      </c>
      <c r="E244" s="7">
        <v>1533.76</v>
      </c>
      <c r="F244" s="7">
        <v>70552.960000000006</v>
      </c>
    </row>
    <row r="245" spans="1:6" x14ac:dyDescent="0.3">
      <c r="A245" s="4" t="s">
        <v>490</v>
      </c>
      <c r="B245" s="5">
        <v>46198</v>
      </c>
      <c r="C245" s="4" t="s">
        <v>491</v>
      </c>
      <c r="D245" s="6">
        <v>88</v>
      </c>
      <c r="E245" s="7">
        <v>1726.06</v>
      </c>
      <c r="F245" s="7">
        <v>151893.28</v>
      </c>
    </row>
    <row r="246" spans="1:6" x14ac:dyDescent="0.3">
      <c r="A246" s="4" t="s">
        <v>492</v>
      </c>
      <c r="B246" s="5">
        <v>46210</v>
      </c>
      <c r="C246" s="4" t="s">
        <v>493</v>
      </c>
      <c r="D246" s="6">
        <v>142</v>
      </c>
      <c r="E246" s="7">
        <v>1482.62</v>
      </c>
      <c r="F246" s="7">
        <v>210532.04</v>
      </c>
    </row>
    <row r="247" spans="1:6" x14ac:dyDescent="0.3">
      <c r="A247" s="4" t="s">
        <v>494</v>
      </c>
      <c r="B247" s="5">
        <v>46036</v>
      </c>
      <c r="C247" s="4" t="s">
        <v>495</v>
      </c>
      <c r="D247" s="6">
        <v>241</v>
      </c>
      <c r="E247" s="7">
        <v>1809.38</v>
      </c>
      <c r="F247" s="7">
        <v>436060.58</v>
      </c>
    </row>
    <row r="248" spans="1:6" x14ac:dyDescent="0.3">
      <c r="A248" s="4" t="s">
        <v>496</v>
      </c>
      <c r="B248" s="5">
        <v>46071</v>
      </c>
      <c r="C248" s="4" t="s">
        <v>497</v>
      </c>
      <c r="D248" s="6">
        <v>115</v>
      </c>
      <c r="E248" s="7">
        <v>1876.27</v>
      </c>
      <c r="F248" s="7">
        <v>215771.05</v>
      </c>
    </row>
    <row r="249" spans="1:6" x14ac:dyDescent="0.3">
      <c r="A249" s="4" t="s">
        <v>498</v>
      </c>
      <c r="B249" s="5">
        <v>46109</v>
      </c>
      <c r="C249" s="4" t="s">
        <v>499</v>
      </c>
      <c r="D249" s="6">
        <v>183</v>
      </c>
      <c r="E249" s="7">
        <v>1625.99</v>
      </c>
      <c r="F249" s="7">
        <v>297556.17</v>
      </c>
    </row>
    <row r="250" spans="1:6" x14ac:dyDescent="0.3">
      <c r="A250" s="4" t="s">
        <v>500</v>
      </c>
      <c r="B250" s="5">
        <v>46142</v>
      </c>
      <c r="C250" s="4" t="s">
        <v>501</v>
      </c>
      <c r="D250" s="6">
        <v>264</v>
      </c>
      <c r="E250" s="7">
        <v>1827.33</v>
      </c>
      <c r="F250" s="7">
        <v>482415.12</v>
      </c>
    </row>
    <row r="251" spans="1:6" x14ac:dyDescent="0.3">
      <c r="A251" s="4" t="s">
        <v>502</v>
      </c>
      <c r="B251" s="5">
        <v>46153</v>
      </c>
      <c r="C251" s="4" t="s">
        <v>503</v>
      </c>
      <c r="D251" s="6">
        <v>115</v>
      </c>
      <c r="E251" s="7">
        <v>1571.02</v>
      </c>
      <c r="F251" s="7">
        <v>180667.3</v>
      </c>
    </row>
    <row r="252" spans="1:6" x14ac:dyDescent="0.3">
      <c r="A252" s="4" t="s">
        <v>504</v>
      </c>
      <c r="B252" s="5">
        <v>46187</v>
      </c>
      <c r="C252" s="4" t="s">
        <v>505</v>
      </c>
      <c r="D252" s="6">
        <v>198</v>
      </c>
      <c r="E252" s="7">
        <v>1775.1</v>
      </c>
      <c r="F252" s="7">
        <v>351469.8</v>
      </c>
    </row>
    <row r="253" spans="1:6" x14ac:dyDescent="0.3">
      <c r="A253" s="4" t="s">
        <v>506</v>
      </c>
      <c r="B253" s="5">
        <v>46228</v>
      </c>
      <c r="C253" s="4" t="s">
        <v>507</v>
      </c>
      <c r="D253" s="6">
        <v>293</v>
      </c>
      <c r="E253" s="7">
        <v>1982.75</v>
      </c>
      <c r="F253" s="7">
        <v>580945.75</v>
      </c>
    </row>
    <row r="254" spans="1:6" x14ac:dyDescent="0.3">
      <c r="A254" s="4" t="s">
        <v>508</v>
      </c>
      <c r="B254" s="5">
        <v>46023</v>
      </c>
      <c r="C254" s="4" t="s">
        <v>509</v>
      </c>
      <c r="D254" s="6">
        <v>89</v>
      </c>
      <c r="E254" s="7">
        <v>1719.58</v>
      </c>
      <c r="F254" s="7">
        <v>153042.62</v>
      </c>
    </row>
    <row r="255" spans="1:6" x14ac:dyDescent="0.3">
      <c r="A255" s="4" t="s">
        <v>510</v>
      </c>
      <c r="B255" s="5">
        <v>46064</v>
      </c>
      <c r="C255" s="4" t="s">
        <v>511</v>
      </c>
      <c r="D255" s="6">
        <v>14</v>
      </c>
      <c r="E255" s="7">
        <v>1929.97</v>
      </c>
      <c r="F255" s="7">
        <v>27019.58</v>
      </c>
    </row>
    <row r="256" spans="1:6" x14ac:dyDescent="0.3">
      <c r="A256" s="4" t="s">
        <v>512</v>
      </c>
      <c r="B256" s="5">
        <v>46096</v>
      </c>
      <c r="C256" s="4" t="s">
        <v>513</v>
      </c>
      <c r="D256" s="6">
        <v>41</v>
      </c>
      <c r="E256" s="7">
        <v>1660.78</v>
      </c>
      <c r="F256" s="7">
        <v>68091.98</v>
      </c>
    </row>
    <row r="257" spans="1:6" x14ac:dyDescent="0.3">
      <c r="A257" s="4" t="s">
        <v>514</v>
      </c>
      <c r="B257" s="5">
        <v>46131</v>
      </c>
      <c r="C257" s="4" t="s">
        <v>515</v>
      </c>
      <c r="D257" s="6">
        <v>80</v>
      </c>
      <c r="E257" s="7">
        <v>1873.91</v>
      </c>
      <c r="F257" s="7">
        <v>149912.79999999999</v>
      </c>
    </row>
    <row r="258" spans="1:6" x14ac:dyDescent="0.3">
      <c r="A258" s="4" t="s">
        <v>516</v>
      </c>
      <c r="B258" s="5">
        <v>46171</v>
      </c>
      <c r="C258" s="4" t="s">
        <v>517</v>
      </c>
      <c r="D258" s="6">
        <v>35</v>
      </c>
      <c r="E258" s="7">
        <v>1598.69</v>
      </c>
      <c r="F258" s="7">
        <v>55954.15</v>
      </c>
    </row>
    <row r="259" spans="1:6" x14ac:dyDescent="0.3">
      <c r="A259" s="4" t="s">
        <v>518</v>
      </c>
      <c r="B259" s="5">
        <v>46176</v>
      </c>
      <c r="C259" s="4" t="s">
        <v>519</v>
      </c>
      <c r="D259" s="6">
        <v>76</v>
      </c>
      <c r="E259" s="7">
        <v>1814.55</v>
      </c>
      <c r="F259" s="7">
        <v>137905.79999999999</v>
      </c>
    </row>
    <row r="260" spans="1:6" x14ac:dyDescent="0.3">
      <c r="A260" s="4" t="s">
        <v>520</v>
      </c>
      <c r="B260" s="5">
        <v>46215</v>
      </c>
      <c r="C260" s="4" t="s">
        <v>521</v>
      </c>
      <c r="D260" s="6">
        <v>129</v>
      </c>
      <c r="E260" s="7">
        <v>2033.98</v>
      </c>
      <c r="F260" s="7">
        <v>262383.42</v>
      </c>
    </row>
    <row r="261" spans="1:6" x14ac:dyDescent="0.3">
      <c r="A261" s="4" t="s">
        <v>522</v>
      </c>
      <c r="B261" s="5">
        <v>46041</v>
      </c>
      <c r="C261" s="4" t="s">
        <v>523</v>
      </c>
      <c r="D261" s="6">
        <v>195</v>
      </c>
      <c r="E261" s="7">
        <v>1751.91</v>
      </c>
      <c r="F261" s="7">
        <v>341622.45</v>
      </c>
    </row>
    <row r="262" spans="1:6" x14ac:dyDescent="0.3">
      <c r="A262" s="4" t="s">
        <v>524</v>
      </c>
      <c r="B262" s="5">
        <v>46057</v>
      </c>
      <c r="C262" s="4" t="s">
        <v>525</v>
      </c>
      <c r="D262" s="6">
        <v>84</v>
      </c>
      <c r="E262" s="7">
        <v>1974.08</v>
      </c>
      <c r="F262" s="7">
        <v>165822.72</v>
      </c>
    </row>
    <row r="263" spans="1:6" x14ac:dyDescent="0.3">
      <c r="A263" s="4" t="s">
        <v>526</v>
      </c>
      <c r="B263" s="5">
        <v>46083</v>
      </c>
      <c r="C263" s="4" t="s">
        <v>527</v>
      </c>
      <c r="D263" s="6">
        <v>152</v>
      </c>
      <c r="E263" s="7">
        <v>1685.99</v>
      </c>
      <c r="F263" s="7">
        <v>256270.48</v>
      </c>
    </row>
    <row r="264" spans="1:6" x14ac:dyDescent="0.3">
      <c r="A264" s="4" t="s">
        <v>528</v>
      </c>
      <c r="B264" s="5">
        <v>46120</v>
      </c>
      <c r="C264" s="4" t="s">
        <v>529</v>
      </c>
      <c r="D264" s="6">
        <v>232</v>
      </c>
      <c r="E264" s="7">
        <v>1910.89</v>
      </c>
      <c r="F264" s="7">
        <v>443326.48</v>
      </c>
    </row>
    <row r="265" spans="1:6" x14ac:dyDescent="0.3">
      <c r="A265" s="4" t="s">
        <v>530</v>
      </c>
      <c r="B265" s="5">
        <v>46158</v>
      </c>
      <c r="C265" s="4" t="s">
        <v>531</v>
      </c>
      <c r="D265" s="6">
        <v>325</v>
      </c>
      <c r="E265" s="7">
        <v>2139.36</v>
      </c>
      <c r="F265" s="7">
        <v>695292</v>
      </c>
    </row>
    <row r="266" spans="1:6" x14ac:dyDescent="0.3">
      <c r="A266" s="4" t="s">
        <v>532</v>
      </c>
      <c r="B266" s="5">
        <v>46195</v>
      </c>
      <c r="C266" s="4" t="s">
        <v>533</v>
      </c>
      <c r="D266" s="6">
        <v>148</v>
      </c>
      <c r="E266" s="7">
        <v>1844.42</v>
      </c>
      <c r="F266" s="7">
        <v>272974.15999999997</v>
      </c>
    </row>
    <row r="267" spans="1:6" x14ac:dyDescent="0.3">
      <c r="A267" s="4" t="s">
        <v>534</v>
      </c>
      <c r="B267" s="5">
        <v>46233</v>
      </c>
      <c r="C267" s="4" t="s">
        <v>535</v>
      </c>
      <c r="D267" s="6">
        <v>243</v>
      </c>
      <c r="E267" s="7">
        <v>2075.63</v>
      </c>
      <c r="F267" s="7">
        <v>504378.09</v>
      </c>
    </row>
    <row r="268" spans="1:6" x14ac:dyDescent="0.3">
      <c r="A268" s="4" t="s">
        <v>536</v>
      </c>
      <c r="B268" s="5">
        <v>46028</v>
      </c>
      <c r="C268" s="4" t="s">
        <v>537</v>
      </c>
      <c r="D268" s="6">
        <v>21</v>
      </c>
      <c r="E268" s="7">
        <v>1774.65</v>
      </c>
      <c r="F268" s="7">
        <v>37267.65</v>
      </c>
    </row>
    <row r="269" spans="1:6" x14ac:dyDescent="0.3">
      <c r="A269" s="4" t="s">
        <v>538</v>
      </c>
      <c r="B269" s="5">
        <v>46078</v>
      </c>
      <c r="C269" s="4" t="s">
        <v>539</v>
      </c>
      <c r="D269" s="6">
        <v>14</v>
      </c>
      <c r="E269" s="7">
        <v>2008.6</v>
      </c>
      <c r="F269" s="7">
        <v>28120.400000000001</v>
      </c>
    </row>
    <row r="270" spans="1:6" x14ac:dyDescent="0.3">
      <c r="A270" s="4" t="s">
        <v>540</v>
      </c>
      <c r="B270" s="5">
        <v>46101</v>
      </c>
      <c r="C270" s="4" t="s">
        <v>541</v>
      </c>
      <c r="D270" s="6">
        <v>40</v>
      </c>
      <c r="E270" s="7">
        <v>2246.11</v>
      </c>
      <c r="F270" s="7">
        <v>89844.4</v>
      </c>
    </row>
    <row r="271" spans="1:6" x14ac:dyDescent="0.3">
      <c r="A271" s="4" t="s">
        <v>542</v>
      </c>
      <c r="B271" s="5">
        <v>46139</v>
      </c>
      <c r="C271" s="4" t="s">
        <v>543</v>
      </c>
      <c r="D271" s="6">
        <v>78</v>
      </c>
      <c r="E271" s="7">
        <v>1938.29</v>
      </c>
      <c r="F271" s="7">
        <v>151186.62</v>
      </c>
    </row>
    <row r="272" spans="1:6" x14ac:dyDescent="0.3">
      <c r="A272" s="4" t="s">
        <v>544</v>
      </c>
      <c r="B272" s="5">
        <v>46145</v>
      </c>
      <c r="C272" s="4" t="s">
        <v>545</v>
      </c>
      <c r="D272" s="6">
        <v>129</v>
      </c>
      <c r="E272" s="7">
        <v>2178.54</v>
      </c>
      <c r="F272" s="7">
        <v>281031.65999999997</v>
      </c>
    </row>
    <row r="273" spans="1:6" x14ac:dyDescent="0.3">
      <c r="A273" s="4" t="s">
        <v>546</v>
      </c>
      <c r="B273" s="5">
        <v>46184</v>
      </c>
      <c r="C273" s="4" t="s">
        <v>547</v>
      </c>
      <c r="D273" s="6">
        <v>56</v>
      </c>
      <c r="E273" s="7">
        <v>1864.69</v>
      </c>
      <c r="F273" s="7">
        <v>104422.64</v>
      </c>
    </row>
    <row r="274" spans="1:6" x14ac:dyDescent="0.3">
      <c r="A274" s="4" t="s">
        <v>548</v>
      </c>
      <c r="B274" s="5">
        <v>46220</v>
      </c>
      <c r="C274" s="4" t="s">
        <v>549</v>
      </c>
      <c r="D274" s="6">
        <v>109</v>
      </c>
      <c r="E274" s="7">
        <v>2107.6799999999998</v>
      </c>
      <c r="F274" s="7">
        <v>229737.12</v>
      </c>
    </row>
    <row r="275" spans="1:6" x14ac:dyDescent="0.3">
      <c r="A275" s="4" t="s">
        <v>550</v>
      </c>
      <c r="B275" s="5">
        <v>46046</v>
      </c>
      <c r="C275" s="4" t="s">
        <v>551</v>
      </c>
      <c r="D275" s="6">
        <v>174</v>
      </c>
      <c r="E275" s="7">
        <v>2354.23</v>
      </c>
      <c r="F275" s="7">
        <v>409636.02</v>
      </c>
    </row>
    <row r="276" spans="1:6" x14ac:dyDescent="0.3">
      <c r="A276" s="4" t="s">
        <v>552</v>
      </c>
      <c r="B276" s="5">
        <v>46071</v>
      </c>
      <c r="C276" s="4" t="s">
        <v>553</v>
      </c>
      <c r="D276" s="6">
        <v>252</v>
      </c>
      <c r="E276" s="7">
        <v>2033.53</v>
      </c>
      <c r="F276" s="7">
        <v>512449.56</v>
      </c>
    </row>
    <row r="277" spans="1:6" x14ac:dyDescent="0.3">
      <c r="A277" s="4" t="s">
        <v>554</v>
      </c>
      <c r="B277" s="5">
        <v>46088</v>
      </c>
      <c r="C277" s="4" t="s">
        <v>555</v>
      </c>
      <c r="D277" s="6">
        <v>113</v>
      </c>
      <c r="E277" s="7">
        <v>2282.8200000000002</v>
      </c>
      <c r="F277" s="7">
        <v>257958.66</v>
      </c>
    </row>
    <row r="278" spans="1:6" x14ac:dyDescent="0.3">
      <c r="A278" s="4" t="s">
        <v>556</v>
      </c>
      <c r="B278" s="5">
        <v>46128</v>
      </c>
      <c r="C278" s="4" t="s">
        <v>557</v>
      </c>
      <c r="D278" s="6">
        <v>192</v>
      </c>
      <c r="E278" s="7">
        <v>1956.1</v>
      </c>
      <c r="F278" s="7">
        <v>375571.20000000001</v>
      </c>
    </row>
    <row r="279" spans="1:6" x14ac:dyDescent="0.3">
      <c r="A279" s="4" t="s">
        <v>558</v>
      </c>
      <c r="B279" s="5">
        <v>46163</v>
      </c>
      <c r="C279" s="4" t="s">
        <v>559</v>
      </c>
      <c r="D279" s="6">
        <v>285</v>
      </c>
      <c r="E279" s="7">
        <v>2208.13</v>
      </c>
      <c r="F279" s="7">
        <v>629317.05000000005</v>
      </c>
    </row>
    <row r="280" spans="1:6" x14ac:dyDescent="0.3">
      <c r="A280" s="4" t="s">
        <v>560</v>
      </c>
      <c r="B280" s="5">
        <v>46203</v>
      </c>
      <c r="C280" s="4" t="s">
        <v>561</v>
      </c>
      <c r="D280" s="6">
        <v>90</v>
      </c>
      <c r="E280" s="7">
        <v>2463.7199999999998</v>
      </c>
      <c r="F280" s="7">
        <v>221734.8</v>
      </c>
    </row>
    <row r="281" spans="1:6" x14ac:dyDescent="0.3">
      <c r="A281" s="4" t="s">
        <v>562</v>
      </c>
      <c r="B281" s="5">
        <v>46207</v>
      </c>
      <c r="C281" s="4" t="s">
        <v>563</v>
      </c>
      <c r="D281" s="6">
        <v>7</v>
      </c>
      <c r="E281" s="7">
        <v>2130.15</v>
      </c>
      <c r="F281" s="7">
        <v>14911.05</v>
      </c>
    </row>
    <row r="282" spans="1:6" x14ac:dyDescent="0.3">
      <c r="A282" s="4" t="s">
        <v>564</v>
      </c>
      <c r="B282" s="5">
        <v>46033</v>
      </c>
      <c r="C282" s="4" t="s">
        <v>565</v>
      </c>
      <c r="D282" s="6">
        <v>31</v>
      </c>
      <c r="E282" s="7">
        <v>2388.48</v>
      </c>
      <c r="F282" s="7">
        <v>74042.880000000005</v>
      </c>
    </row>
    <row r="283" spans="1:6" x14ac:dyDescent="0.3">
      <c r="A283" s="4" t="s">
        <v>566</v>
      </c>
      <c r="B283" s="5">
        <v>46064</v>
      </c>
      <c r="C283" s="4" t="s">
        <v>567</v>
      </c>
      <c r="D283" s="6">
        <v>67</v>
      </c>
      <c r="E283" s="7">
        <v>2048.87</v>
      </c>
      <c r="F283" s="7">
        <v>137274.29</v>
      </c>
    </row>
    <row r="284" spans="1:6" x14ac:dyDescent="0.3">
      <c r="A284" s="4" t="s">
        <v>568</v>
      </c>
      <c r="B284" s="5">
        <v>46106</v>
      </c>
      <c r="C284" s="4" t="s">
        <v>569</v>
      </c>
      <c r="D284" s="6">
        <v>31</v>
      </c>
      <c r="E284" s="7">
        <v>2309.9499999999998</v>
      </c>
      <c r="F284" s="7">
        <v>71608.45</v>
      </c>
    </row>
    <row r="285" spans="1:6" x14ac:dyDescent="0.3">
      <c r="A285" s="4" t="s">
        <v>570</v>
      </c>
      <c r="B285" s="5">
        <v>46117</v>
      </c>
      <c r="C285" s="4" t="s">
        <v>571</v>
      </c>
      <c r="D285" s="6">
        <v>69</v>
      </c>
      <c r="E285" s="7">
        <v>2574.59</v>
      </c>
      <c r="F285" s="7">
        <v>177646.71</v>
      </c>
    </row>
    <row r="286" spans="1:6" x14ac:dyDescent="0.3">
      <c r="A286" s="4" t="s">
        <v>572</v>
      </c>
      <c r="B286" s="5">
        <v>46150</v>
      </c>
      <c r="C286" s="4" t="s">
        <v>573</v>
      </c>
      <c r="D286" s="6">
        <v>120</v>
      </c>
      <c r="E286" s="7">
        <v>2228.13</v>
      </c>
      <c r="F286" s="7">
        <v>267375.59999999998</v>
      </c>
    </row>
    <row r="287" spans="1:6" x14ac:dyDescent="0.3">
      <c r="A287" s="4" t="s">
        <v>574</v>
      </c>
      <c r="B287" s="5">
        <v>46192</v>
      </c>
      <c r="C287" s="4" t="s">
        <v>575</v>
      </c>
      <c r="D287" s="6">
        <v>183</v>
      </c>
      <c r="E287" s="7">
        <v>2495.5100000000002</v>
      </c>
      <c r="F287" s="7">
        <v>456678.33</v>
      </c>
    </row>
    <row r="288" spans="1:6" x14ac:dyDescent="0.3">
      <c r="A288" s="4" t="s">
        <v>576</v>
      </c>
      <c r="B288" s="5">
        <v>46225</v>
      </c>
      <c r="C288" s="4" t="s">
        <v>577</v>
      </c>
      <c r="D288" s="6">
        <v>81</v>
      </c>
      <c r="E288" s="7">
        <v>2143.02</v>
      </c>
      <c r="F288" s="7">
        <v>173584.62</v>
      </c>
    </row>
    <row r="289" spans="1:6" x14ac:dyDescent="0.3">
      <c r="A289" s="4" t="s">
        <v>578</v>
      </c>
      <c r="B289" s="5">
        <v>46051</v>
      </c>
      <c r="C289" s="4" t="s">
        <v>579</v>
      </c>
      <c r="D289" s="6">
        <v>146</v>
      </c>
      <c r="E289" s="7">
        <v>2413.14</v>
      </c>
      <c r="F289" s="7">
        <v>352318.44</v>
      </c>
    </row>
    <row r="290" spans="1:6" x14ac:dyDescent="0.3">
      <c r="A290" s="4" t="s">
        <v>580</v>
      </c>
      <c r="B290" s="5">
        <v>46057</v>
      </c>
      <c r="C290" s="4" t="s">
        <v>581</v>
      </c>
      <c r="D290" s="6">
        <v>223</v>
      </c>
      <c r="E290" s="7">
        <v>2054.62</v>
      </c>
      <c r="F290" s="7">
        <v>458180.26</v>
      </c>
    </row>
    <row r="291" spans="1:6" x14ac:dyDescent="0.3">
      <c r="A291" s="4" t="s">
        <v>582</v>
      </c>
      <c r="B291" s="5">
        <v>46093</v>
      </c>
      <c r="C291" s="4" t="s">
        <v>583</v>
      </c>
      <c r="D291" s="6">
        <v>313</v>
      </c>
      <c r="E291" s="7">
        <v>2327.48</v>
      </c>
      <c r="F291" s="7">
        <v>728501.24</v>
      </c>
    </row>
    <row r="292" spans="1:6" x14ac:dyDescent="0.3">
      <c r="A292" s="4" t="s">
        <v>584</v>
      </c>
      <c r="B292" s="5">
        <v>46136</v>
      </c>
      <c r="C292" s="4" t="s">
        <v>585</v>
      </c>
      <c r="D292" s="6">
        <v>145</v>
      </c>
      <c r="E292" s="7">
        <v>23.4</v>
      </c>
      <c r="F292" s="7">
        <v>3393</v>
      </c>
    </row>
    <row r="293" spans="1:6" x14ac:dyDescent="0.3">
      <c r="A293" s="4" t="s">
        <v>586</v>
      </c>
      <c r="B293" s="5">
        <v>46168</v>
      </c>
      <c r="C293" s="4" t="s">
        <v>587</v>
      </c>
      <c r="D293" s="6">
        <v>237</v>
      </c>
      <c r="E293" s="7">
        <v>35.19</v>
      </c>
      <c r="F293" s="7">
        <v>8340.0300000000007</v>
      </c>
    </row>
    <row r="294" spans="1:6" x14ac:dyDescent="0.3">
      <c r="A294" s="4" t="s">
        <v>588</v>
      </c>
      <c r="B294" s="5">
        <v>46181</v>
      </c>
      <c r="C294" s="4" t="s">
        <v>589</v>
      </c>
      <c r="D294" s="6">
        <v>8</v>
      </c>
      <c r="E294" s="7">
        <v>56.3</v>
      </c>
      <c r="F294" s="7">
        <v>450.4</v>
      </c>
    </row>
    <row r="295" spans="1:6" x14ac:dyDescent="0.3">
      <c r="A295" s="4" t="s">
        <v>590</v>
      </c>
      <c r="B295" s="5">
        <v>46212</v>
      </c>
      <c r="C295" s="4" t="s">
        <v>591</v>
      </c>
      <c r="D295" s="6">
        <v>10</v>
      </c>
      <c r="E295" s="7">
        <v>62.06</v>
      </c>
      <c r="F295" s="7">
        <v>620.6</v>
      </c>
    </row>
    <row r="296" spans="1:6" x14ac:dyDescent="0.3">
      <c r="A296" s="4" t="s">
        <v>592</v>
      </c>
      <c r="B296" s="5">
        <v>46038</v>
      </c>
      <c r="C296" s="4" t="s">
        <v>593</v>
      </c>
      <c r="D296" s="6">
        <v>33</v>
      </c>
      <c r="E296" s="7">
        <v>85.9</v>
      </c>
      <c r="F296" s="7">
        <v>2834.7</v>
      </c>
    </row>
    <row r="297" spans="1:6" x14ac:dyDescent="0.3">
      <c r="A297" s="4" t="s">
        <v>594</v>
      </c>
      <c r="B297" s="5">
        <v>46078</v>
      </c>
      <c r="C297" s="4" t="s">
        <v>595</v>
      </c>
      <c r="D297" s="6">
        <v>68</v>
      </c>
      <c r="E297" s="7">
        <v>113.32</v>
      </c>
      <c r="F297" s="7">
        <v>7705.76</v>
      </c>
    </row>
    <row r="298" spans="1:6" x14ac:dyDescent="0.3">
      <c r="A298" s="4" t="s">
        <v>596</v>
      </c>
      <c r="B298" s="5">
        <v>46111</v>
      </c>
      <c r="C298" s="4" t="s">
        <v>597</v>
      </c>
      <c r="D298" s="6">
        <v>35</v>
      </c>
      <c r="E298" s="7">
        <v>60.12</v>
      </c>
      <c r="F298" s="7">
        <v>2104.1999999999998</v>
      </c>
    </row>
    <row r="299" spans="1:6" x14ac:dyDescent="0.3">
      <c r="A299" s="4" t="s">
        <v>598</v>
      </c>
      <c r="B299" s="5">
        <v>46125</v>
      </c>
      <c r="C299" s="4" t="s">
        <v>599</v>
      </c>
      <c r="D299" s="6">
        <v>53</v>
      </c>
      <c r="E299" s="7">
        <v>142.38</v>
      </c>
      <c r="F299" s="7">
        <v>7546.14</v>
      </c>
    </row>
    <row r="300" spans="1:6" x14ac:dyDescent="0.3">
      <c r="A300" s="4" t="s">
        <v>600</v>
      </c>
      <c r="B300" s="5">
        <v>46155</v>
      </c>
      <c r="C300" s="4" t="s">
        <v>601</v>
      </c>
      <c r="D300" s="6">
        <v>102</v>
      </c>
      <c r="E300" s="7">
        <v>135.26</v>
      </c>
      <c r="F300" s="7">
        <v>13796.52</v>
      </c>
    </row>
    <row r="301" spans="1:6" x14ac:dyDescent="0.3">
      <c r="A301" s="4" t="s">
        <v>602</v>
      </c>
      <c r="B301" s="5">
        <v>46200</v>
      </c>
      <c r="C301" s="4" t="s">
        <v>603</v>
      </c>
      <c r="D301" s="6">
        <v>165</v>
      </c>
      <c r="E301" s="7">
        <v>168.15</v>
      </c>
      <c r="F301" s="7">
        <v>27744.75</v>
      </c>
    </row>
    <row r="302" spans="1:6" x14ac:dyDescent="0.3">
      <c r="A302" s="4" t="s">
        <v>604</v>
      </c>
      <c r="B302" s="5">
        <v>46230</v>
      </c>
      <c r="C302" s="4" t="s">
        <v>605</v>
      </c>
      <c r="D302" s="6">
        <v>240</v>
      </c>
      <c r="E302" s="7">
        <v>204.6</v>
      </c>
      <c r="F302" s="7">
        <v>49104</v>
      </c>
    </row>
    <row r="303" spans="1:6" x14ac:dyDescent="0.3">
      <c r="A303" s="4" t="s">
        <v>606</v>
      </c>
      <c r="B303" s="5">
        <v>46025</v>
      </c>
      <c r="C303" s="4" t="s">
        <v>607</v>
      </c>
      <c r="D303" s="6">
        <v>110</v>
      </c>
      <c r="E303" s="7">
        <v>190.63</v>
      </c>
      <c r="F303" s="7">
        <v>20969.3</v>
      </c>
    </row>
    <row r="304" spans="1:6" x14ac:dyDescent="0.3">
      <c r="A304" s="4" t="s">
        <v>608</v>
      </c>
      <c r="B304" s="5">
        <v>46071</v>
      </c>
      <c r="C304" s="4" t="s">
        <v>609</v>
      </c>
      <c r="D304" s="6">
        <v>187</v>
      </c>
      <c r="E304" s="7">
        <v>229.82</v>
      </c>
      <c r="F304" s="7">
        <v>42976.34</v>
      </c>
    </row>
    <row r="305" spans="1:6" x14ac:dyDescent="0.3">
      <c r="A305" s="4" t="s">
        <v>610</v>
      </c>
      <c r="B305" s="5">
        <v>46098</v>
      </c>
      <c r="C305" s="4" t="s">
        <v>611</v>
      </c>
      <c r="D305" s="6">
        <v>276</v>
      </c>
      <c r="E305" s="7">
        <v>209.83</v>
      </c>
      <c r="F305" s="7">
        <v>57913.08</v>
      </c>
    </row>
    <row r="306" spans="1:6" x14ac:dyDescent="0.3">
      <c r="A306" s="4" t="s">
        <v>612</v>
      </c>
      <c r="B306" s="5">
        <v>46114</v>
      </c>
      <c r="C306" s="4" t="s">
        <v>613</v>
      </c>
      <c r="D306" s="6">
        <v>91</v>
      </c>
      <c r="E306" s="7">
        <v>251.76</v>
      </c>
      <c r="F306" s="7">
        <v>22910.16</v>
      </c>
    </row>
    <row r="307" spans="1:6" x14ac:dyDescent="0.3">
      <c r="A307" s="4" t="s">
        <v>614</v>
      </c>
      <c r="B307" s="5">
        <v>46173</v>
      </c>
      <c r="C307" s="4" t="s">
        <v>615</v>
      </c>
      <c r="D307" s="6">
        <v>182</v>
      </c>
      <c r="E307" s="7">
        <v>297.26</v>
      </c>
      <c r="F307" s="7">
        <v>54101.32</v>
      </c>
    </row>
    <row r="308" spans="1:6" x14ac:dyDescent="0.3">
      <c r="A308" s="4" t="s">
        <v>616</v>
      </c>
      <c r="B308" s="5">
        <v>46189</v>
      </c>
      <c r="C308" s="4" t="s">
        <v>617</v>
      </c>
      <c r="D308" s="6">
        <v>21</v>
      </c>
      <c r="E308" s="7">
        <v>270.41000000000003</v>
      </c>
      <c r="F308" s="7">
        <v>5678.61</v>
      </c>
    </row>
    <row r="309" spans="1:6" x14ac:dyDescent="0.3">
      <c r="A309" s="4" t="s">
        <v>618</v>
      </c>
      <c r="B309" s="5">
        <v>46217</v>
      </c>
      <c r="C309" s="4" t="s">
        <v>619</v>
      </c>
      <c r="D309" s="6">
        <v>53</v>
      </c>
      <c r="E309" s="7">
        <v>318.64</v>
      </c>
      <c r="F309" s="7">
        <v>16887.919999999998</v>
      </c>
    </row>
    <row r="310" spans="1:6" x14ac:dyDescent="0.3">
      <c r="A310" s="4" t="s">
        <v>620</v>
      </c>
      <c r="B310" s="5">
        <v>46043</v>
      </c>
      <c r="C310" s="4" t="s">
        <v>621</v>
      </c>
      <c r="D310" s="6">
        <v>28</v>
      </c>
      <c r="E310" s="7">
        <v>285.77</v>
      </c>
      <c r="F310" s="7">
        <v>8001.56</v>
      </c>
    </row>
    <row r="311" spans="1:6" x14ac:dyDescent="0.3">
      <c r="A311" s="4" t="s">
        <v>622</v>
      </c>
      <c r="B311" s="5">
        <v>46064</v>
      </c>
      <c r="C311" s="4" t="s">
        <v>623</v>
      </c>
      <c r="D311" s="6">
        <v>63</v>
      </c>
      <c r="E311" s="7">
        <v>336.74</v>
      </c>
      <c r="F311" s="7">
        <v>21214.62</v>
      </c>
    </row>
    <row r="312" spans="1:6" x14ac:dyDescent="0.3">
      <c r="A312" s="4" t="s">
        <v>624</v>
      </c>
      <c r="B312" s="5">
        <v>46085</v>
      </c>
      <c r="C312" s="4" t="s">
        <v>625</v>
      </c>
      <c r="D312" s="6">
        <v>110</v>
      </c>
      <c r="E312" s="7">
        <v>391.28</v>
      </c>
      <c r="F312" s="7">
        <v>43040.800000000003</v>
      </c>
    </row>
    <row r="313" spans="1:6" x14ac:dyDescent="0.3">
      <c r="A313" s="4" t="s">
        <v>626</v>
      </c>
      <c r="B313" s="5">
        <v>46133</v>
      </c>
      <c r="C313" s="4" t="s">
        <v>627</v>
      </c>
      <c r="D313" s="6">
        <v>170</v>
      </c>
      <c r="E313" s="7">
        <v>351.56</v>
      </c>
      <c r="F313" s="7">
        <v>59765.2</v>
      </c>
    </row>
    <row r="314" spans="1:6" x14ac:dyDescent="0.3">
      <c r="A314" s="4" t="s">
        <v>628</v>
      </c>
      <c r="B314" s="5">
        <v>46160</v>
      </c>
      <c r="C314" s="4" t="s">
        <v>629</v>
      </c>
      <c r="D314" s="6">
        <v>78</v>
      </c>
      <c r="E314" s="7">
        <v>408.83</v>
      </c>
      <c r="F314" s="7">
        <v>31888.74</v>
      </c>
    </row>
    <row r="315" spans="1:6" x14ac:dyDescent="0.3">
      <c r="A315" s="4" t="s">
        <v>630</v>
      </c>
      <c r="B315" s="5">
        <v>46178</v>
      </c>
      <c r="C315" s="4" t="s">
        <v>631</v>
      </c>
      <c r="D315" s="6">
        <v>140</v>
      </c>
      <c r="E315" s="7">
        <v>363.08</v>
      </c>
      <c r="F315" s="7">
        <v>50831.199999999997</v>
      </c>
    </row>
    <row r="316" spans="1:6" x14ac:dyDescent="0.3">
      <c r="A316" s="4" t="s">
        <v>632</v>
      </c>
      <c r="B316" s="5">
        <v>46204</v>
      </c>
      <c r="C316" s="4" t="s">
        <v>633</v>
      </c>
      <c r="D316" s="6">
        <v>214</v>
      </c>
      <c r="E316" s="7">
        <v>423.1</v>
      </c>
      <c r="F316" s="7">
        <v>90543.4</v>
      </c>
    </row>
    <row r="317" spans="1:6" x14ac:dyDescent="0.3">
      <c r="A317" s="4" t="s">
        <v>634</v>
      </c>
      <c r="B317" s="5">
        <v>46030</v>
      </c>
      <c r="C317" s="4" t="s">
        <v>635</v>
      </c>
      <c r="D317" s="6">
        <v>66</v>
      </c>
      <c r="E317" s="7">
        <v>486.68</v>
      </c>
      <c r="F317" s="7">
        <v>32120.880000000001</v>
      </c>
    </row>
    <row r="318" spans="1:6" x14ac:dyDescent="0.3">
      <c r="A318" s="4" t="s">
        <v>636</v>
      </c>
      <c r="B318" s="5">
        <v>46057</v>
      </c>
      <c r="C318" s="4" t="s">
        <v>637</v>
      </c>
      <c r="D318" s="6">
        <v>416</v>
      </c>
      <c r="E318" s="7">
        <v>471.49</v>
      </c>
      <c r="F318" s="7">
        <v>196139.84</v>
      </c>
    </row>
    <row r="319" spans="1:6" x14ac:dyDescent="0.3">
      <c r="A319" s="4" t="s">
        <v>638</v>
      </c>
      <c r="B319" s="5">
        <v>46103</v>
      </c>
      <c r="C319" s="4" t="s">
        <v>639</v>
      </c>
      <c r="D319" s="6">
        <v>231</v>
      </c>
      <c r="E319" s="7">
        <v>500.39</v>
      </c>
      <c r="F319" s="7">
        <v>115590.09</v>
      </c>
    </row>
    <row r="320" spans="1:6" x14ac:dyDescent="0.3">
      <c r="A320" s="4" t="s">
        <v>640</v>
      </c>
      <c r="B320" s="5">
        <v>46122</v>
      </c>
      <c r="C320" s="4" t="s">
        <v>641</v>
      </c>
      <c r="D320" s="6">
        <v>333</v>
      </c>
      <c r="E320" s="7">
        <v>441.76</v>
      </c>
      <c r="F320" s="7">
        <v>147106.07999999999</v>
      </c>
    </row>
    <row r="321" spans="1:6" x14ac:dyDescent="0.3">
      <c r="A321" s="4" t="s">
        <v>642</v>
      </c>
      <c r="B321" s="5">
        <v>46147</v>
      </c>
      <c r="C321" s="4" t="s">
        <v>643</v>
      </c>
      <c r="D321" s="6">
        <v>6</v>
      </c>
      <c r="E321" s="7">
        <v>510.82</v>
      </c>
      <c r="F321" s="7">
        <v>3064.92</v>
      </c>
    </row>
    <row r="322" spans="1:6" x14ac:dyDescent="0.3">
      <c r="A322" s="4" t="s">
        <v>644</v>
      </c>
      <c r="B322" s="5">
        <v>46197</v>
      </c>
      <c r="C322" s="4" t="s">
        <v>645</v>
      </c>
      <c r="D322" s="6">
        <v>26</v>
      </c>
      <c r="E322" s="7">
        <v>446.16</v>
      </c>
      <c r="F322" s="7">
        <v>11600.16</v>
      </c>
    </row>
    <row r="323" spans="1:6" x14ac:dyDescent="0.3">
      <c r="A323" s="4" t="s">
        <v>646</v>
      </c>
      <c r="B323" s="5">
        <v>46222</v>
      </c>
      <c r="C323" s="4" t="s">
        <v>647</v>
      </c>
      <c r="D323" s="6">
        <v>58</v>
      </c>
      <c r="E323" s="7">
        <v>517.96</v>
      </c>
      <c r="F323" s="7">
        <v>30041.68</v>
      </c>
    </row>
    <row r="324" spans="1:6" x14ac:dyDescent="0.3">
      <c r="A324" s="4" t="s">
        <v>648</v>
      </c>
      <c r="B324" s="5">
        <v>46048</v>
      </c>
      <c r="C324" s="4" t="s">
        <v>649</v>
      </c>
      <c r="D324" s="6">
        <v>103</v>
      </c>
      <c r="E324" s="7">
        <v>593.32000000000005</v>
      </c>
      <c r="F324" s="7">
        <v>61111.96</v>
      </c>
    </row>
    <row r="325" spans="1:6" x14ac:dyDescent="0.3">
      <c r="A325" s="4" t="s">
        <v>650</v>
      </c>
      <c r="B325" s="5">
        <v>46078</v>
      </c>
      <c r="C325" s="4" t="s">
        <v>651</v>
      </c>
      <c r="D325" s="6">
        <v>49</v>
      </c>
      <c r="E325" s="7">
        <v>521.80999999999995</v>
      </c>
      <c r="F325" s="7">
        <v>25568.69</v>
      </c>
    </row>
    <row r="326" spans="1:6" x14ac:dyDescent="0.3">
      <c r="A326" s="4" t="s">
        <v>652</v>
      </c>
      <c r="B326" s="5">
        <v>46090</v>
      </c>
      <c r="C326" s="4" t="s">
        <v>653</v>
      </c>
      <c r="D326" s="6">
        <v>96</v>
      </c>
      <c r="E326" s="7">
        <v>599.91</v>
      </c>
      <c r="F326" s="7">
        <v>57591.360000000001</v>
      </c>
    </row>
    <row r="327" spans="1:6" x14ac:dyDescent="0.3">
      <c r="A327" s="4" t="s">
        <v>654</v>
      </c>
      <c r="B327" s="5">
        <v>46141</v>
      </c>
      <c r="C327" s="4" t="s">
        <v>655</v>
      </c>
      <c r="D327" s="6">
        <v>155</v>
      </c>
      <c r="E327" s="7">
        <v>522.38</v>
      </c>
      <c r="F327" s="7">
        <v>80968.899999999994</v>
      </c>
    </row>
    <row r="328" spans="1:6" x14ac:dyDescent="0.3">
      <c r="A328" s="4" t="s">
        <v>656</v>
      </c>
      <c r="B328" s="5">
        <v>46165</v>
      </c>
      <c r="C328" s="4" t="s">
        <v>657</v>
      </c>
      <c r="D328" s="6">
        <v>227</v>
      </c>
      <c r="E328" s="7">
        <v>603.22</v>
      </c>
      <c r="F328" s="7">
        <v>136930.94</v>
      </c>
    </row>
    <row r="329" spans="1:6" x14ac:dyDescent="0.3">
      <c r="A329" s="4" t="s">
        <v>658</v>
      </c>
      <c r="B329" s="5">
        <v>46186</v>
      </c>
      <c r="C329" s="4" t="s">
        <v>659</v>
      </c>
      <c r="D329" s="6">
        <v>107</v>
      </c>
      <c r="E329" s="7">
        <v>687.62</v>
      </c>
      <c r="F329" s="7">
        <v>73575.34</v>
      </c>
    </row>
    <row r="330" spans="1:6" x14ac:dyDescent="0.3">
      <c r="A330" s="4" t="s">
        <v>660</v>
      </c>
      <c r="B330" s="5">
        <v>46209</v>
      </c>
      <c r="C330" s="4" t="s">
        <v>661</v>
      </c>
      <c r="D330" s="6">
        <v>181</v>
      </c>
      <c r="E330" s="7">
        <v>603.23</v>
      </c>
      <c r="F330" s="7">
        <v>109184.63</v>
      </c>
    </row>
    <row r="331" spans="1:6" x14ac:dyDescent="0.3">
      <c r="A331" s="4" t="s">
        <v>662</v>
      </c>
      <c r="B331" s="5">
        <v>46035</v>
      </c>
      <c r="C331" s="4" t="s">
        <v>663</v>
      </c>
      <c r="D331" s="6">
        <v>267</v>
      </c>
      <c r="E331" s="7">
        <v>690.38</v>
      </c>
      <c r="F331" s="7">
        <v>184331.46</v>
      </c>
    </row>
    <row r="332" spans="1:6" x14ac:dyDescent="0.3">
      <c r="A332" s="4" t="s">
        <v>664</v>
      </c>
      <c r="B332" s="5">
        <v>46071</v>
      </c>
      <c r="C332" s="4" t="s">
        <v>665</v>
      </c>
      <c r="D332" s="6">
        <v>91</v>
      </c>
      <c r="E332" s="7">
        <v>599.96</v>
      </c>
      <c r="F332" s="7">
        <v>54596.36</v>
      </c>
    </row>
    <row r="333" spans="1:6" x14ac:dyDescent="0.3">
      <c r="A333" s="4" t="s">
        <v>666</v>
      </c>
      <c r="B333" s="5">
        <v>46108</v>
      </c>
      <c r="C333" s="4" t="s">
        <v>667</v>
      </c>
      <c r="D333" s="6">
        <v>179</v>
      </c>
      <c r="E333" s="7">
        <v>689.84</v>
      </c>
      <c r="F333" s="7">
        <v>123481.36</v>
      </c>
    </row>
    <row r="334" spans="1:6" x14ac:dyDescent="0.3">
      <c r="A334" s="4" t="s">
        <v>668</v>
      </c>
      <c r="B334" s="5">
        <v>46130</v>
      </c>
      <c r="C334" s="4" t="s">
        <v>669</v>
      </c>
      <c r="D334" s="6">
        <v>10</v>
      </c>
      <c r="E334" s="7">
        <v>783.29</v>
      </c>
      <c r="F334" s="7">
        <v>7832.9</v>
      </c>
    </row>
    <row r="335" spans="1:6" x14ac:dyDescent="0.3">
      <c r="A335" s="4" t="s">
        <v>670</v>
      </c>
      <c r="B335" s="5">
        <v>46152</v>
      </c>
      <c r="C335" s="4" t="s">
        <v>671</v>
      </c>
      <c r="D335" s="6">
        <v>40</v>
      </c>
      <c r="E335" s="7">
        <v>686.02</v>
      </c>
      <c r="F335" s="7">
        <v>27440.799999999999</v>
      </c>
    </row>
    <row r="336" spans="1:6" x14ac:dyDescent="0.3">
      <c r="A336" s="4" t="s">
        <v>672</v>
      </c>
      <c r="B336" s="5">
        <v>46175</v>
      </c>
      <c r="C336" s="4" t="s">
        <v>673</v>
      </c>
      <c r="D336" s="6">
        <v>24</v>
      </c>
      <c r="E336" s="7">
        <v>782.21</v>
      </c>
      <c r="F336" s="7">
        <v>18773.04</v>
      </c>
    </row>
    <row r="337" spans="1:6" x14ac:dyDescent="0.3">
      <c r="A337" s="4" t="s">
        <v>674</v>
      </c>
      <c r="B337" s="5">
        <v>46227</v>
      </c>
      <c r="C337" s="4" t="s">
        <v>675</v>
      </c>
      <c r="D337" s="6">
        <v>55</v>
      </c>
      <c r="E337" s="7">
        <v>678.92</v>
      </c>
      <c r="F337" s="7">
        <v>37340.6</v>
      </c>
    </row>
    <row r="338" spans="1:6" x14ac:dyDescent="0.3">
      <c r="A338" s="4" t="s">
        <v>676</v>
      </c>
      <c r="B338" s="5">
        <v>46053</v>
      </c>
      <c r="C338" s="4" t="s">
        <v>677</v>
      </c>
      <c r="D338" s="6">
        <v>100</v>
      </c>
      <c r="E338" s="7">
        <v>777.84</v>
      </c>
      <c r="F338" s="7">
        <v>77784</v>
      </c>
    </row>
    <row r="339" spans="1:6" x14ac:dyDescent="0.3">
      <c r="A339" s="4" t="s">
        <v>678</v>
      </c>
      <c r="B339" s="5">
        <v>46064</v>
      </c>
      <c r="C339" s="4" t="s">
        <v>679</v>
      </c>
      <c r="D339" s="6">
        <v>157</v>
      </c>
      <c r="E339" s="7">
        <v>880.33</v>
      </c>
      <c r="F339" s="7">
        <v>138211.81</v>
      </c>
    </row>
    <row r="340" spans="1:6" x14ac:dyDescent="0.3">
      <c r="A340" s="4" t="s">
        <v>680</v>
      </c>
      <c r="B340" s="5">
        <v>46095</v>
      </c>
      <c r="C340" s="4" t="s">
        <v>681</v>
      </c>
      <c r="D340" s="6">
        <v>74</v>
      </c>
      <c r="E340" s="7">
        <v>770.18</v>
      </c>
      <c r="F340" s="7">
        <v>56993.32</v>
      </c>
    </row>
    <row r="341" spans="1:6" x14ac:dyDescent="0.3">
      <c r="A341" s="4" t="s">
        <v>682</v>
      </c>
      <c r="B341" s="5">
        <v>46119</v>
      </c>
      <c r="C341" s="4" t="s">
        <v>683</v>
      </c>
      <c r="D341" s="6">
        <v>133</v>
      </c>
      <c r="E341" s="7">
        <v>875.41</v>
      </c>
      <c r="F341" s="7">
        <v>116429.53</v>
      </c>
    </row>
    <row r="342" spans="1:6" x14ac:dyDescent="0.3">
      <c r="A342" s="4" t="s">
        <v>684</v>
      </c>
      <c r="B342" s="5">
        <v>46170</v>
      </c>
      <c r="C342" s="4" t="s">
        <v>685</v>
      </c>
      <c r="D342" s="6">
        <v>204</v>
      </c>
      <c r="E342" s="7">
        <v>759.24</v>
      </c>
      <c r="F342" s="7">
        <v>154884.96</v>
      </c>
    </row>
    <row r="343" spans="1:6" x14ac:dyDescent="0.3">
      <c r="A343" s="4" t="s">
        <v>686</v>
      </c>
      <c r="B343" s="5">
        <v>46194</v>
      </c>
      <c r="C343" s="4" t="s">
        <v>687</v>
      </c>
      <c r="D343" s="6">
        <v>66</v>
      </c>
      <c r="E343" s="7">
        <v>867.21</v>
      </c>
      <c r="F343" s="7">
        <v>57235.86</v>
      </c>
    </row>
    <row r="344" spans="1:6" x14ac:dyDescent="0.3">
      <c r="A344" s="4" t="s">
        <v>688</v>
      </c>
      <c r="B344" s="5">
        <v>46214</v>
      </c>
      <c r="C344" s="4" t="s">
        <v>689</v>
      </c>
      <c r="D344" s="6">
        <v>140</v>
      </c>
      <c r="E344" s="7">
        <v>978.74</v>
      </c>
      <c r="F344" s="7">
        <v>137023.6</v>
      </c>
    </row>
    <row r="345" spans="1:6" x14ac:dyDescent="0.3">
      <c r="A345" s="4" t="s">
        <v>690</v>
      </c>
      <c r="B345" s="5">
        <v>46040</v>
      </c>
      <c r="C345" s="4" t="s">
        <v>691</v>
      </c>
      <c r="D345" s="6">
        <v>225</v>
      </c>
      <c r="E345" s="7">
        <v>855.72</v>
      </c>
      <c r="F345" s="7">
        <v>192537</v>
      </c>
    </row>
    <row r="346" spans="1:6" x14ac:dyDescent="0.3">
      <c r="A346" s="4" t="s">
        <v>692</v>
      </c>
      <c r="B346" s="5">
        <v>46057</v>
      </c>
      <c r="C346" s="4" t="s">
        <v>693</v>
      </c>
      <c r="D346" s="6">
        <v>324</v>
      </c>
      <c r="E346" s="7">
        <v>969.98</v>
      </c>
      <c r="F346" s="7">
        <v>314273.52</v>
      </c>
    </row>
    <row r="347" spans="1:6" x14ac:dyDescent="0.3">
      <c r="A347" s="4" t="s">
        <v>694</v>
      </c>
      <c r="B347" s="5">
        <v>46082</v>
      </c>
      <c r="C347" s="4" t="s">
        <v>695</v>
      </c>
      <c r="D347" s="6">
        <v>120</v>
      </c>
      <c r="E347" s="7">
        <v>840.94</v>
      </c>
      <c r="F347" s="7">
        <v>100912.8</v>
      </c>
    </row>
    <row r="348" spans="1:6" x14ac:dyDescent="0.3">
      <c r="A348" s="4" t="s">
        <v>696</v>
      </c>
      <c r="B348" s="5">
        <v>46138</v>
      </c>
      <c r="C348" s="4" t="s">
        <v>697</v>
      </c>
      <c r="D348" s="6">
        <v>18</v>
      </c>
      <c r="E348" s="7">
        <v>957.94</v>
      </c>
      <c r="F348" s="7">
        <v>17242.919999999998</v>
      </c>
    </row>
    <row r="349" spans="1:6" x14ac:dyDescent="0.3">
      <c r="A349" s="4" t="s">
        <v>698</v>
      </c>
      <c r="B349" s="5">
        <v>46157</v>
      </c>
      <c r="C349" s="4" t="s">
        <v>699</v>
      </c>
      <c r="D349" s="6">
        <v>48</v>
      </c>
      <c r="E349" s="7">
        <v>1078.52</v>
      </c>
      <c r="F349" s="7">
        <v>51768.959999999999</v>
      </c>
    </row>
    <row r="350" spans="1:6" x14ac:dyDescent="0.3">
      <c r="A350" s="4" t="s">
        <v>700</v>
      </c>
      <c r="B350" s="5">
        <v>46183</v>
      </c>
      <c r="C350" s="4" t="s">
        <v>701</v>
      </c>
      <c r="D350" s="6">
        <v>90</v>
      </c>
      <c r="E350" s="7">
        <v>942.62</v>
      </c>
      <c r="F350" s="7">
        <v>84835.8</v>
      </c>
    </row>
    <row r="351" spans="1:6" x14ac:dyDescent="0.3">
      <c r="A351" s="4" t="s">
        <v>702</v>
      </c>
      <c r="B351" s="5">
        <v>46232</v>
      </c>
      <c r="C351" s="4" t="s">
        <v>703</v>
      </c>
      <c r="D351" s="6">
        <v>45</v>
      </c>
      <c r="E351" s="7">
        <v>1065.93</v>
      </c>
      <c r="F351" s="7">
        <v>47966.85</v>
      </c>
    </row>
    <row r="352" spans="1:6" x14ac:dyDescent="0.3">
      <c r="A352" s="4" t="s">
        <v>704</v>
      </c>
      <c r="B352" s="5">
        <v>46027</v>
      </c>
      <c r="C352" s="4" t="s">
        <v>705</v>
      </c>
      <c r="D352" s="6">
        <v>89</v>
      </c>
      <c r="E352" s="7">
        <v>924</v>
      </c>
      <c r="F352" s="7">
        <v>82236</v>
      </c>
    </row>
    <row r="353" spans="1:6" x14ac:dyDescent="0.3">
      <c r="A353" s="4" t="s">
        <v>706</v>
      </c>
      <c r="B353" s="5">
        <v>46078</v>
      </c>
      <c r="C353" s="4" t="s">
        <v>707</v>
      </c>
      <c r="D353" s="6">
        <v>145</v>
      </c>
      <c r="E353" s="7">
        <v>1050.05</v>
      </c>
      <c r="F353" s="7">
        <v>152257.25</v>
      </c>
    </row>
    <row r="354" spans="1:6" x14ac:dyDescent="0.3">
      <c r="A354" s="4" t="s">
        <v>708</v>
      </c>
      <c r="B354" s="5">
        <v>46100</v>
      </c>
      <c r="C354" s="4" t="s">
        <v>709</v>
      </c>
      <c r="D354" s="6">
        <v>214</v>
      </c>
      <c r="E354" s="7">
        <v>902.1</v>
      </c>
      <c r="F354" s="7">
        <v>193049.4</v>
      </c>
    </row>
    <row r="355" spans="1:6" x14ac:dyDescent="0.3">
      <c r="A355" s="4" t="s">
        <v>710</v>
      </c>
      <c r="B355" s="5">
        <v>46127</v>
      </c>
      <c r="C355" s="4" t="s">
        <v>711</v>
      </c>
      <c r="D355" s="6">
        <v>94</v>
      </c>
      <c r="E355" s="7">
        <v>599.15</v>
      </c>
      <c r="F355" s="7">
        <v>56320.1</v>
      </c>
    </row>
    <row r="356" spans="1:6" x14ac:dyDescent="0.3">
      <c r="A356" s="4" t="s">
        <v>712</v>
      </c>
      <c r="B356" s="5">
        <v>46144</v>
      </c>
      <c r="C356" s="4" t="s">
        <v>713</v>
      </c>
      <c r="D356" s="6">
        <v>174</v>
      </c>
      <c r="E356" s="7">
        <v>1163.24</v>
      </c>
      <c r="F356" s="7">
        <v>202403.76</v>
      </c>
    </row>
    <row r="357" spans="1:6" x14ac:dyDescent="0.3">
      <c r="A357" s="4" t="s">
        <v>714</v>
      </c>
      <c r="B357" s="5">
        <v>46202</v>
      </c>
      <c r="C357" s="4" t="s">
        <v>715</v>
      </c>
      <c r="D357" s="6">
        <v>257</v>
      </c>
      <c r="E357" s="7">
        <v>1008.44</v>
      </c>
      <c r="F357" s="7">
        <v>259169.08</v>
      </c>
    </row>
    <row r="358" spans="1:6" x14ac:dyDescent="0.3">
      <c r="A358" s="4" t="s">
        <v>716</v>
      </c>
      <c r="B358" s="5">
        <v>46219</v>
      </c>
      <c r="C358" s="4" t="s">
        <v>717</v>
      </c>
      <c r="D358" s="6">
        <v>91</v>
      </c>
      <c r="E358" s="7">
        <v>1143.53</v>
      </c>
      <c r="F358" s="7">
        <v>104061.23</v>
      </c>
    </row>
    <row r="359" spans="1:6" x14ac:dyDescent="0.3">
      <c r="A359" s="4" t="s">
        <v>718</v>
      </c>
      <c r="B359" s="5">
        <v>46045</v>
      </c>
      <c r="C359" s="4" t="s">
        <v>719</v>
      </c>
      <c r="D359" s="6">
        <v>176</v>
      </c>
      <c r="E359" s="7">
        <v>982.7</v>
      </c>
      <c r="F359" s="7">
        <v>172955.2</v>
      </c>
    </row>
    <row r="360" spans="1:6" x14ac:dyDescent="0.3">
      <c r="A360" s="4" t="s">
        <v>720</v>
      </c>
      <c r="B360" s="5">
        <v>46071</v>
      </c>
      <c r="C360" s="4" t="s">
        <v>721</v>
      </c>
      <c r="D360" s="6">
        <v>274</v>
      </c>
      <c r="E360" s="7">
        <v>1120.53</v>
      </c>
      <c r="F360" s="7">
        <v>307025.21999999997</v>
      </c>
    </row>
    <row r="361" spans="1:6" x14ac:dyDescent="0.3">
      <c r="A361" s="4" t="s">
        <v>722</v>
      </c>
      <c r="B361" s="5">
        <v>46087</v>
      </c>
      <c r="C361" s="4" t="s">
        <v>723</v>
      </c>
      <c r="D361" s="6">
        <v>26</v>
      </c>
      <c r="E361" s="7">
        <v>1261.92</v>
      </c>
      <c r="F361" s="7">
        <v>32809.919999999998</v>
      </c>
    </row>
    <row r="362" spans="1:6" x14ac:dyDescent="0.3">
      <c r="A362" s="4" t="s">
        <v>724</v>
      </c>
      <c r="B362" s="5">
        <v>46116</v>
      </c>
      <c r="C362" s="4" t="s">
        <v>725</v>
      </c>
      <c r="D362" s="6">
        <v>19</v>
      </c>
      <c r="E362" s="7">
        <v>1094.24</v>
      </c>
      <c r="F362" s="7">
        <v>20790.560000000001</v>
      </c>
    </row>
    <row r="363" spans="1:6" x14ac:dyDescent="0.3">
      <c r="A363" s="4" t="s">
        <v>726</v>
      </c>
      <c r="B363" s="5">
        <v>46162</v>
      </c>
      <c r="C363" s="4" t="s">
        <v>727</v>
      </c>
      <c r="D363" s="6">
        <v>48</v>
      </c>
      <c r="E363" s="7">
        <v>1238.3800000000001</v>
      </c>
      <c r="F363" s="7">
        <v>59442.239999999998</v>
      </c>
    </row>
    <row r="364" spans="1:6" x14ac:dyDescent="0.3">
      <c r="A364" s="4" t="s">
        <v>728</v>
      </c>
      <c r="B364" s="5">
        <v>46191</v>
      </c>
      <c r="C364" s="4" t="s">
        <v>729</v>
      </c>
      <c r="D364" s="6">
        <v>89</v>
      </c>
      <c r="E364" s="7">
        <v>1064.6600000000001</v>
      </c>
      <c r="F364" s="7">
        <v>94754.74</v>
      </c>
    </row>
    <row r="365" spans="1:6" x14ac:dyDescent="0.3">
      <c r="A365" s="4" t="s">
        <v>730</v>
      </c>
      <c r="B365" s="5">
        <v>46206</v>
      </c>
      <c r="C365" s="4" t="s">
        <v>731</v>
      </c>
      <c r="D365" s="6">
        <v>143</v>
      </c>
      <c r="E365" s="7">
        <v>1211.54</v>
      </c>
      <c r="F365" s="7">
        <v>173250.22</v>
      </c>
    </row>
    <row r="366" spans="1:6" x14ac:dyDescent="0.3">
      <c r="A366" s="4" t="s">
        <v>732</v>
      </c>
      <c r="B366" s="5">
        <v>46032</v>
      </c>
      <c r="C366" s="4" t="s">
        <v>733</v>
      </c>
      <c r="D366" s="6">
        <v>70</v>
      </c>
      <c r="E366" s="7">
        <v>1361.98</v>
      </c>
      <c r="F366" s="7">
        <v>95338.6</v>
      </c>
    </row>
    <row r="367" spans="1:6" x14ac:dyDescent="0.3">
      <c r="A367" s="4" t="s">
        <v>734</v>
      </c>
      <c r="B367" s="5">
        <v>46064</v>
      </c>
      <c r="C367" s="4" t="s">
        <v>735</v>
      </c>
      <c r="D367" s="6">
        <v>126</v>
      </c>
      <c r="E367" s="7">
        <v>1181.42</v>
      </c>
      <c r="F367" s="7">
        <v>148858.92000000001</v>
      </c>
    </row>
    <row r="368" spans="1:6" x14ac:dyDescent="0.3">
      <c r="A368" s="4" t="s">
        <v>736</v>
      </c>
      <c r="B368" s="5">
        <v>46105</v>
      </c>
      <c r="C368" s="4" t="s">
        <v>737</v>
      </c>
      <c r="D368" s="6">
        <v>194</v>
      </c>
      <c r="E368" s="7">
        <v>1334.59</v>
      </c>
      <c r="F368" s="7">
        <v>258910.46</v>
      </c>
    </row>
    <row r="369" spans="1:6" x14ac:dyDescent="0.3">
      <c r="A369" s="4" t="s">
        <v>738</v>
      </c>
      <c r="B369" s="5">
        <v>46135</v>
      </c>
      <c r="C369" s="4" t="s">
        <v>739</v>
      </c>
      <c r="D369" s="6">
        <v>66</v>
      </c>
      <c r="E369" s="7">
        <v>1148</v>
      </c>
      <c r="F369" s="7">
        <v>75768</v>
      </c>
    </row>
    <row r="370" spans="1:6" x14ac:dyDescent="0.3">
      <c r="A370" s="4" t="s">
        <v>740</v>
      </c>
      <c r="B370" s="5">
        <v>46149</v>
      </c>
      <c r="C370" s="4" t="s">
        <v>741</v>
      </c>
      <c r="D370" s="6">
        <v>136</v>
      </c>
      <c r="E370" s="7">
        <v>1303.92</v>
      </c>
      <c r="F370" s="7">
        <v>177333.12</v>
      </c>
    </row>
    <row r="371" spans="1:6" x14ac:dyDescent="0.3">
      <c r="A371" s="4" t="s">
        <v>742</v>
      </c>
      <c r="B371" s="5">
        <v>46180</v>
      </c>
      <c r="C371" s="4" t="s">
        <v>743</v>
      </c>
      <c r="D371" s="6">
        <v>219</v>
      </c>
      <c r="E371" s="7">
        <v>1463.4</v>
      </c>
      <c r="F371" s="7">
        <v>320484.59999999998</v>
      </c>
    </row>
    <row r="372" spans="1:6" x14ac:dyDescent="0.3">
      <c r="A372" s="4" t="s">
        <v>744</v>
      </c>
      <c r="B372" s="5">
        <v>46224</v>
      </c>
      <c r="C372" s="4" t="s">
        <v>745</v>
      </c>
      <c r="D372" s="6">
        <v>314</v>
      </c>
      <c r="E372" s="7">
        <v>1269.96</v>
      </c>
      <c r="F372" s="7">
        <v>398767.44</v>
      </c>
    </row>
    <row r="373" spans="1:6" x14ac:dyDescent="0.3">
      <c r="A373" s="4" t="s">
        <v>746</v>
      </c>
      <c r="B373" s="5">
        <v>46050</v>
      </c>
      <c r="C373" s="4" t="s">
        <v>747</v>
      </c>
      <c r="D373" s="6">
        <v>120</v>
      </c>
      <c r="E373" s="7">
        <v>1432.18</v>
      </c>
      <c r="F373" s="7">
        <v>171861.6</v>
      </c>
    </row>
    <row r="374" spans="1:6" x14ac:dyDescent="0.3">
      <c r="A374" s="4" t="s">
        <v>748</v>
      </c>
      <c r="B374" s="5">
        <v>46057</v>
      </c>
      <c r="C374" s="4" t="s">
        <v>749</v>
      </c>
      <c r="D374" s="6">
        <v>10</v>
      </c>
      <c r="E374" s="7">
        <v>1232.71</v>
      </c>
      <c r="F374" s="7">
        <v>12327.1</v>
      </c>
    </row>
    <row r="375" spans="1:6" x14ac:dyDescent="0.3">
      <c r="A375" s="4" t="s">
        <v>750</v>
      </c>
      <c r="B375" s="5">
        <v>46092</v>
      </c>
      <c r="C375" s="4" t="s">
        <v>751</v>
      </c>
      <c r="D375" s="6">
        <v>37</v>
      </c>
      <c r="E375" s="7">
        <v>1397.67</v>
      </c>
      <c r="F375" s="7">
        <v>51713.79</v>
      </c>
    </row>
    <row r="376" spans="1:6" x14ac:dyDescent="0.3">
      <c r="A376" s="4" t="s">
        <v>752</v>
      </c>
      <c r="B376" s="5">
        <v>46124</v>
      </c>
      <c r="C376" s="4" t="s">
        <v>753</v>
      </c>
      <c r="D376" s="6">
        <v>76</v>
      </c>
      <c r="E376" s="7">
        <v>1566.19</v>
      </c>
      <c r="F376" s="7">
        <v>119030.44</v>
      </c>
    </row>
    <row r="377" spans="1:6" x14ac:dyDescent="0.3">
      <c r="A377" s="4" t="s">
        <v>754</v>
      </c>
      <c r="B377" s="5">
        <v>46167</v>
      </c>
      <c r="C377" s="4" t="s">
        <v>755</v>
      </c>
      <c r="D377" s="6">
        <v>41</v>
      </c>
      <c r="E377" s="7">
        <v>1359.88</v>
      </c>
      <c r="F377" s="7">
        <v>55755.08</v>
      </c>
    </row>
    <row r="378" spans="1:6" x14ac:dyDescent="0.3">
      <c r="A378" s="4" t="s">
        <v>756</v>
      </c>
      <c r="B378" s="5">
        <v>46199</v>
      </c>
      <c r="C378" s="4" t="s">
        <v>757</v>
      </c>
      <c r="D378" s="6">
        <v>81</v>
      </c>
      <c r="E378" s="7">
        <v>1531.14</v>
      </c>
      <c r="F378" s="7">
        <v>124022.34</v>
      </c>
    </row>
    <row r="379" spans="1:6" x14ac:dyDescent="0.3">
      <c r="A379" s="4" t="s">
        <v>758</v>
      </c>
      <c r="B379" s="5">
        <v>46211</v>
      </c>
      <c r="C379" s="4" t="s">
        <v>759</v>
      </c>
      <c r="D379" s="6">
        <v>135</v>
      </c>
      <c r="E379" s="7">
        <v>1318.79</v>
      </c>
      <c r="F379" s="7">
        <v>178036.65</v>
      </c>
    </row>
    <row r="380" spans="1:6" x14ac:dyDescent="0.3">
      <c r="A380" s="4" t="s">
        <v>760</v>
      </c>
      <c r="B380" s="5">
        <v>46037</v>
      </c>
      <c r="C380" s="4" t="s">
        <v>761</v>
      </c>
      <c r="D380" s="6">
        <v>44</v>
      </c>
      <c r="E380" s="7">
        <v>1492.79</v>
      </c>
      <c r="F380" s="7">
        <v>65682.759999999995</v>
      </c>
    </row>
    <row r="381" spans="1:6" x14ac:dyDescent="0.3">
      <c r="A381" s="4" t="s">
        <v>762</v>
      </c>
      <c r="B381" s="5">
        <v>46078</v>
      </c>
      <c r="C381" s="4" t="s">
        <v>763</v>
      </c>
      <c r="D381" s="6">
        <v>99</v>
      </c>
      <c r="E381" s="7">
        <v>1670.36</v>
      </c>
      <c r="F381" s="7">
        <v>165365.64000000001</v>
      </c>
    </row>
    <row r="382" spans="1:6" x14ac:dyDescent="0.3">
      <c r="A382" s="4" t="s">
        <v>764</v>
      </c>
      <c r="B382" s="5">
        <v>46110</v>
      </c>
      <c r="C382" s="4" t="s">
        <v>765</v>
      </c>
      <c r="D382" s="6">
        <v>167</v>
      </c>
      <c r="E382" s="7">
        <v>1451.16</v>
      </c>
      <c r="F382" s="7">
        <v>242343.72</v>
      </c>
    </row>
    <row r="383" spans="1:6" x14ac:dyDescent="0.3">
      <c r="A383" s="4" t="s">
        <v>766</v>
      </c>
      <c r="B383" s="5">
        <v>46113</v>
      </c>
      <c r="C383" s="4" t="s">
        <v>767</v>
      </c>
      <c r="D383" s="6">
        <v>247</v>
      </c>
      <c r="E383" s="7">
        <v>1631.46</v>
      </c>
      <c r="F383" s="7">
        <v>402970.62</v>
      </c>
    </row>
    <row r="384" spans="1:6" x14ac:dyDescent="0.3">
      <c r="A384" s="4" t="s">
        <v>768</v>
      </c>
      <c r="B384" s="5">
        <v>46154</v>
      </c>
      <c r="C384" s="4" t="s">
        <v>769</v>
      </c>
      <c r="D384" s="6">
        <v>91</v>
      </c>
      <c r="E384" s="7">
        <v>1406.24</v>
      </c>
      <c r="F384" s="7">
        <v>127967.84</v>
      </c>
    </row>
    <row r="385" spans="1:6" x14ac:dyDescent="0.3">
      <c r="A385" s="4" t="s">
        <v>770</v>
      </c>
      <c r="B385" s="5">
        <v>46188</v>
      </c>
      <c r="C385" s="4" t="s">
        <v>771</v>
      </c>
      <c r="D385" s="6">
        <v>173</v>
      </c>
      <c r="E385" s="7">
        <v>1589.28</v>
      </c>
      <c r="F385" s="7">
        <v>274945.44</v>
      </c>
    </row>
    <row r="386" spans="1:6" x14ac:dyDescent="0.3">
      <c r="A386" s="4" t="s">
        <v>772</v>
      </c>
      <c r="B386" s="5">
        <v>46229</v>
      </c>
      <c r="C386" s="4" t="s">
        <v>773</v>
      </c>
      <c r="D386" s="6">
        <v>267</v>
      </c>
      <c r="E386" s="7">
        <v>1358.03</v>
      </c>
      <c r="F386" s="7">
        <v>362594.01</v>
      </c>
    </row>
    <row r="387" spans="1:6" x14ac:dyDescent="0.3">
      <c r="A387" s="4" t="s">
        <v>774</v>
      </c>
      <c r="B387" s="5">
        <v>46024</v>
      </c>
      <c r="C387" s="4" t="s">
        <v>775</v>
      </c>
      <c r="D387" s="6">
        <v>11</v>
      </c>
      <c r="E387" s="7">
        <v>1543.81</v>
      </c>
      <c r="F387" s="7">
        <v>16981.91</v>
      </c>
    </row>
    <row r="388" spans="1:6" x14ac:dyDescent="0.3">
      <c r="A388" s="4" t="s">
        <v>776</v>
      </c>
      <c r="B388" s="5">
        <v>46071</v>
      </c>
      <c r="C388" s="4" t="s">
        <v>777</v>
      </c>
      <c r="D388" s="6">
        <v>14</v>
      </c>
      <c r="E388" s="7">
        <v>1733.16</v>
      </c>
      <c r="F388" s="7">
        <v>24264.240000000002</v>
      </c>
    </row>
    <row r="389" spans="1:6" x14ac:dyDescent="0.3">
      <c r="A389" s="4" t="s">
        <v>778</v>
      </c>
      <c r="B389" s="5">
        <v>46097</v>
      </c>
      <c r="C389" s="4" t="s">
        <v>779</v>
      </c>
      <c r="D389" s="6">
        <v>96</v>
      </c>
      <c r="E389" s="7">
        <v>1636.48</v>
      </c>
      <c r="F389" s="7">
        <v>157102.07999999999</v>
      </c>
    </row>
    <row r="390" spans="1:6" x14ac:dyDescent="0.3">
      <c r="A390" s="4" t="s">
        <v>780</v>
      </c>
      <c r="B390" s="5">
        <v>46132</v>
      </c>
      <c r="C390" s="4" t="s">
        <v>781</v>
      </c>
      <c r="D390" s="6">
        <v>78</v>
      </c>
      <c r="E390" s="7">
        <v>1687.14</v>
      </c>
      <c r="F390" s="7">
        <v>131596.92000000001</v>
      </c>
    </row>
    <row r="391" spans="1:6" x14ac:dyDescent="0.3">
      <c r="A391" s="4" t="s">
        <v>782</v>
      </c>
      <c r="B391" s="5">
        <v>46172</v>
      </c>
      <c r="C391" s="4" t="s">
        <v>783</v>
      </c>
      <c r="D391" s="6">
        <v>129</v>
      </c>
      <c r="E391" s="7">
        <v>1443.02</v>
      </c>
      <c r="F391" s="7">
        <v>186149.58</v>
      </c>
    </row>
    <row r="392" spans="1:6" x14ac:dyDescent="0.3">
      <c r="A392" s="4" t="s">
        <v>784</v>
      </c>
      <c r="B392" s="5">
        <v>46177</v>
      </c>
      <c r="C392" s="4" t="s">
        <v>785</v>
      </c>
      <c r="D392" s="6">
        <v>66</v>
      </c>
      <c r="E392" s="7">
        <v>1637.84</v>
      </c>
      <c r="F392" s="7">
        <v>108097.44</v>
      </c>
    </row>
    <row r="393" spans="1:6" x14ac:dyDescent="0.3">
      <c r="A393" s="4" t="s">
        <v>786</v>
      </c>
      <c r="B393" s="5">
        <v>46216</v>
      </c>
      <c r="C393" s="4" t="s">
        <v>787</v>
      </c>
      <c r="D393" s="6">
        <v>119</v>
      </c>
      <c r="E393" s="7">
        <v>1836.23</v>
      </c>
      <c r="F393" s="7">
        <v>218511.37</v>
      </c>
    </row>
    <row r="394" spans="1:6" x14ac:dyDescent="0.3">
      <c r="A394" s="4" t="s">
        <v>788</v>
      </c>
      <c r="B394" s="5">
        <v>46042</v>
      </c>
      <c r="C394" s="4" t="s">
        <v>789</v>
      </c>
      <c r="D394" s="6">
        <v>184</v>
      </c>
      <c r="E394" s="7">
        <v>1585.25</v>
      </c>
      <c r="F394" s="7">
        <v>291686</v>
      </c>
    </row>
    <row r="395" spans="1:6" x14ac:dyDescent="0.3">
      <c r="A395" s="4" t="s">
        <v>790</v>
      </c>
      <c r="B395" s="5">
        <v>46064</v>
      </c>
      <c r="C395" s="4" t="s">
        <v>791</v>
      </c>
      <c r="D395" s="6">
        <v>65</v>
      </c>
      <c r="E395" s="7">
        <v>1786.38</v>
      </c>
      <c r="F395" s="7">
        <v>116114.7</v>
      </c>
    </row>
    <row r="396" spans="1:6" x14ac:dyDescent="0.3">
      <c r="A396" s="4" t="s">
        <v>792</v>
      </c>
      <c r="B396" s="5">
        <v>46084</v>
      </c>
      <c r="C396" s="4" t="s">
        <v>793</v>
      </c>
      <c r="D396" s="6">
        <v>132</v>
      </c>
      <c r="E396" s="7">
        <v>1529.37</v>
      </c>
      <c r="F396" s="7">
        <v>201876.84</v>
      </c>
    </row>
    <row r="397" spans="1:6" x14ac:dyDescent="0.3">
      <c r="A397" s="4" t="s">
        <v>794</v>
      </c>
      <c r="B397" s="5">
        <v>46121</v>
      </c>
      <c r="C397" s="4" t="s">
        <v>795</v>
      </c>
      <c r="D397" s="6">
        <v>212</v>
      </c>
      <c r="E397" s="7">
        <v>1733.24</v>
      </c>
      <c r="F397" s="7">
        <v>367446.88</v>
      </c>
    </row>
    <row r="398" spans="1:6" x14ac:dyDescent="0.3">
      <c r="A398" s="4" t="s">
        <v>796</v>
      </c>
      <c r="B398" s="5">
        <v>46159</v>
      </c>
      <c r="C398" s="4" t="s">
        <v>797</v>
      </c>
      <c r="D398" s="6">
        <v>304</v>
      </c>
      <c r="E398" s="7">
        <v>1940.66</v>
      </c>
      <c r="F398" s="7">
        <v>589960.64</v>
      </c>
    </row>
    <row r="399" spans="1:6" x14ac:dyDescent="0.3">
      <c r="A399" s="4" t="s">
        <v>798</v>
      </c>
      <c r="B399" s="5">
        <v>46196</v>
      </c>
      <c r="C399" s="4" t="s">
        <v>799</v>
      </c>
      <c r="D399" s="6">
        <v>119</v>
      </c>
      <c r="E399" s="7">
        <v>1676.81</v>
      </c>
      <c r="F399" s="7">
        <v>199540.39</v>
      </c>
    </row>
    <row r="400" spans="1:6" x14ac:dyDescent="0.3">
      <c r="A400" s="4" t="s">
        <v>800</v>
      </c>
      <c r="B400" s="5">
        <v>46234</v>
      </c>
      <c r="C400" s="4" t="s">
        <v>801</v>
      </c>
      <c r="D400" s="6">
        <v>213</v>
      </c>
      <c r="E400" s="7">
        <v>1886.98</v>
      </c>
      <c r="F400" s="7">
        <v>401926.74</v>
      </c>
    </row>
    <row r="401" spans="1:6" x14ac:dyDescent="0.3">
      <c r="A401" s="4" t="s">
        <v>802</v>
      </c>
      <c r="B401" s="5">
        <v>46029</v>
      </c>
      <c r="C401" s="4" t="s">
        <v>803</v>
      </c>
      <c r="D401" s="6">
        <v>25</v>
      </c>
      <c r="E401" s="7">
        <v>1617.09</v>
      </c>
      <c r="F401" s="7">
        <v>40427.25</v>
      </c>
    </row>
    <row r="402" spans="1:6" x14ac:dyDescent="0.3">
      <c r="A402" s="4" t="s">
        <v>804</v>
      </c>
      <c r="B402" s="5">
        <v>46057</v>
      </c>
      <c r="C402" s="4" t="s">
        <v>805</v>
      </c>
      <c r="D402" s="6">
        <v>61</v>
      </c>
      <c r="E402" s="7">
        <v>1830</v>
      </c>
      <c r="F402" s="7">
        <v>111630</v>
      </c>
    </row>
    <row r="403" spans="1:6" x14ac:dyDescent="0.3">
      <c r="A403" s="4" t="s">
        <v>806</v>
      </c>
      <c r="B403" s="5">
        <v>46102</v>
      </c>
      <c r="C403" s="4" t="s">
        <v>807</v>
      </c>
      <c r="D403" s="6">
        <v>36</v>
      </c>
      <c r="E403" s="7">
        <v>2046.47</v>
      </c>
      <c r="F403" s="7">
        <v>73672.92</v>
      </c>
    </row>
    <row r="404" spans="1:6" x14ac:dyDescent="0.3">
      <c r="A404" s="4" t="s">
        <v>808</v>
      </c>
      <c r="B404" s="5">
        <v>46140</v>
      </c>
      <c r="C404" s="4" t="s">
        <v>809</v>
      </c>
      <c r="D404" s="6">
        <v>73</v>
      </c>
      <c r="E404" s="7">
        <v>1769.74</v>
      </c>
      <c r="F404" s="7">
        <v>129191.02</v>
      </c>
    </row>
    <row r="405" spans="1:6" x14ac:dyDescent="0.3">
      <c r="A405" s="4" t="s">
        <v>810</v>
      </c>
      <c r="B405" s="5">
        <v>46146</v>
      </c>
      <c r="C405" s="4" t="s">
        <v>811</v>
      </c>
      <c r="D405" s="6">
        <v>124</v>
      </c>
      <c r="E405" s="7">
        <v>1988.95</v>
      </c>
      <c r="F405" s="7">
        <v>246629.8</v>
      </c>
    </row>
    <row r="406" spans="1:6" x14ac:dyDescent="0.3">
      <c r="A406" s="4" t="s">
        <v>812</v>
      </c>
      <c r="B406" s="5">
        <v>46185</v>
      </c>
      <c r="C406" s="4" t="s">
        <v>813</v>
      </c>
      <c r="D406" s="6">
        <v>43</v>
      </c>
      <c r="E406" s="7">
        <v>1706.18</v>
      </c>
      <c r="F406" s="7">
        <v>73365.740000000005</v>
      </c>
    </row>
    <row r="407" spans="1:6" x14ac:dyDescent="0.3">
      <c r="A407" s="4" t="s">
        <v>814</v>
      </c>
      <c r="B407" s="5">
        <v>46221</v>
      </c>
      <c r="C407" s="4" t="s">
        <v>815</v>
      </c>
      <c r="D407" s="6">
        <v>95</v>
      </c>
      <c r="E407" s="7">
        <v>1928.14</v>
      </c>
      <c r="F407" s="7">
        <v>183173.3</v>
      </c>
    </row>
    <row r="408" spans="1:6" x14ac:dyDescent="0.3">
      <c r="A408" s="4" t="s">
        <v>816</v>
      </c>
      <c r="B408" s="5">
        <v>46047</v>
      </c>
      <c r="C408" s="4" t="s">
        <v>817</v>
      </c>
      <c r="D408" s="6">
        <v>160</v>
      </c>
      <c r="E408" s="7">
        <v>2153.65</v>
      </c>
      <c r="F408" s="7">
        <v>344584</v>
      </c>
    </row>
    <row r="409" spans="1:6" x14ac:dyDescent="0.3">
      <c r="A409" s="4" t="s">
        <v>818</v>
      </c>
      <c r="B409" s="5">
        <v>46078</v>
      </c>
      <c r="C409" s="4" t="s">
        <v>819</v>
      </c>
      <c r="D409" s="6">
        <v>237</v>
      </c>
      <c r="E409" s="7">
        <v>1864.04</v>
      </c>
      <c r="F409" s="7">
        <v>441777.48</v>
      </c>
    </row>
    <row r="410" spans="1:6" x14ac:dyDescent="0.3">
      <c r="A410" s="4" t="s">
        <v>820</v>
      </c>
      <c r="B410" s="5">
        <v>46089</v>
      </c>
      <c r="C410" s="4" t="s">
        <v>821</v>
      </c>
      <c r="D410" s="6">
        <v>90</v>
      </c>
      <c r="E410" s="7">
        <v>2092.29</v>
      </c>
      <c r="F410" s="7">
        <v>188306.1</v>
      </c>
    </row>
    <row r="411" spans="1:6" x14ac:dyDescent="0.3">
      <c r="A411" s="4" t="s">
        <v>822</v>
      </c>
      <c r="B411" s="5">
        <v>46129</v>
      </c>
      <c r="C411" s="4" t="s">
        <v>823</v>
      </c>
      <c r="D411" s="6">
        <v>169</v>
      </c>
      <c r="E411" s="7">
        <v>1796.65</v>
      </c>
      <c r="F411" s="7">
        <v>303633.84999999998</v>
      </c>
    </row>
    <row r="412" spans="1:6" x14ac:dyDescent="0.3">
      <c r="A412" s="4" t="s">
        <v>824</v>
      </c>
      <c r="B412" s="5">
        <v>46164</v>
      </c>
      <c r="C412" s="4" t="s">
        <v>825</v>
      </c>
      <c r="D412" s="6">
        <v>180</v>
      </c>
      <c r="E412" s="7">
        <v>914.1</v>
      </c>
      <c r="F412" s="7">
        <v>164538</v>
      </c>
    </row>
    <row r="413" spans="1:6" x14ac:dyDescent="0.3">
      <c r="A413" s="4" t="s">
        <v>826</v>
      </c>
      <c r="B413" s="5">
        <v>46174</v>
      </c>
      <c r="C413" s="4" t="s">
        <v>827</v>
      </c>
      <c r="D413" s="6">
        <v>365</v>
      </c>
      <c r="E413" s="7">
        <v>2262.1999999999998</v>
      </c>
      <c r="F413" s="7">
        <v>825703</v>
      </c>
    </row>
    <row r="414" spans="1:6" x14ac:dyDescent="0.3">
      <c r="A414" s="4" t="s">
        <v>828</v>
      </c>
      <c r="B414" s="5">
        <v>46208</v>
      </c>
      <c r="C414" s="4" t="s">
        <v>829</v>
      </c>
      <c r="D414" s="6">
        <v>9</v>
      </c>
      <c r="E414" s="7">
        <v>1959.7</v>
      </c>
      <c r="F414" s="7">
        <v>17637.3</v>
      </c>
    </row>
    <row r="415" spans="1:6" x14ac:dyDescent="0.3">
      <c r="A415" s="4" t="s">
        <v>830</v>
      </c>
      <c r="B415" s="5">
        <v>46034</v>
      </c>
      <c r="C415" s="4" t="s">
        <v>831</v>
      </c>
      <c r="D415" s="6">
        <v>32</v>
      </c>
      <c r="E415" s="7">
        <v>2197</v>
      </c>
      <c r="F415" s="7">
        <v>70304</v>
      </c>
    </row>
    <row r="416" spans="1:6" x14ac:dyDescent="0.3">
      <c r="A416" s="4" t="s">
        <v>832</v>
      </c>
      <c r="B416" s="5">
        <v>46071</v>
      </c>
      <c r="C416" s="4" t="s">
        <v>833</v>
      </c>
      <c r="D416" s="6">
        <v>67</v>
      </c>
      <c r="E416" s="7">
        <v>1888.48</v>
      </c>
      <c r="F416" s="7">
        <v>126528.16</v>
      </c>
    </row>
    <row r="417" spans="1:6" x14ac:dyDescent="0.3">
      <c r="A417" s="4" t="s">
        <v>834</v>
      </c>
      <c r="B417" s="5">
        <v>46107</v>
      </c>
      <c r="C417" s="4" t="s">
        <v>835</v>
      </c>
      <c r="D417" s="6">
        <v>115</v>
      </c>
      <c r="E417" s="7">
        <v>2128.52</v>
      </c>
      <c r="F417" s="7">
        <v>244779.8</v>
      </c>
    </row>
    <row r="418" spans="1:6" x14ac:dyDescent="0.3">
      <c r="A418" s="4" t="s">
        <v>836</v>
      </c>
      <c r="B418" s="5">
        <v>46118</v>
      </c>
      <c r="C418" s="4" t="s">
        <v>837</v>
      </c>
      <c r="D418" s="6">
        <v>61</v>
      </c>
      <c r="E418" s="7">
        <v>1813.97</v>
      </c>
      <c r="F418" s="7">
        <v>110652.17</v>
      </c>
    </row>
    <row r="419" spans="1:6" x14ac:dyDescent="0.3">
      <c r="A419" s="4" t="s">
        <v>838</v>
      </c>
      <c r="B419" s="5">
        <v>46151</v>
      </c>
      <c r="C419" s="4" t="s">
        <v>839</v>
      </c>
      <c r="D419" s="6">
        <v>111</v>
      </c>
      <c r="E419" s="7">
        <v>2056.7399999999998</v>
      </c>
      <c r="F419" s="7">
        <v>228298.14</v>
      </c>
    </row>
    <row r="420" spans="1:6" x14ac:dyDescent="0.3">
      <c r="A420" s="4" t="s">
        <v>840</v>
      </c>
      <c r="B420" s="5">
        <v>46193</v>
      </c>
      <c r="C420" s="4" t="s">
        <v>841</v>
      </c>
      <c r="D420" s="6">
        <v>173</v>
      </c>
      <c r="E420" s="7">
        <v>2303.08</v>
      </c>
      <c r="F420" s="7">
        <v>398432.84</v>
      </c>
    </row>
    <row r="421" spans="1:6" x14ac:dyDescent="0.3">
      <c r="A421" s="4" t="s">
        <v>842</v>
      </c>
      <c r="B421" s="5">
        <v>46226</v>
      </c>
      <c r="C421" s="4" t="s">
        <v>843</v>
      </c>
      <c r="D421" s="6">
        <v>64</v>
      </c>
      <c r="E421" s="7">
        <v>1981.68</v>
      </c>
      <c r="F421" s="7">
        <v>126827.52</v>
      </c>
    </row>
    <row r="422" spans="1:6" x14ac:dyDescent="0.3">
      <c r="A422" s="4" t="s">
        <v>844</v>
      </c>
      <c r="B422" s="5">
        <v>46052</v>
      </c>
      <c r="C422" s="4" t="s">
        <v>845</v>
      </c>
      <c r="D422" s="6">
        <v>128</v>
      </c>
      <c r="E422" s="7">
        <v>2230.7600000000002</v>
      </c>
      <c r="F422" s="7">
        <v>285537.28000000003</v>
      </c>
    </row>
    <row r="423" spans="1:6" x14ac:dyDescent="0.3">
      <c r="A423" s="4" t="s">
        <v>846</v>
      </c>
      <c r="B423" s="5">
        <v>46064</v>
      </c>
      <c r="C423" s="4" t="s">
        <v>847</v>
      </c>
      <c r="D423" s="6">
        <v>204</v>
      </c>
      <c r="E423" s="7">
        <v>1903.34</v>
      </c>
      <c r="F423" s="7">
        <v>388281.36</v>
      </c>
    </row>
    <row r="424" spans="1:6" x14ac:dyDescent="0.3">
      <c r="A424" s="4" t="s">
        <v>848</v>
      </c>
      <c r="B424" s="5">
        <v>46094</v>
      </c>
      <c r="C424" s="4" t="s">
        <v>849</v>
      </c>
      <c r="D424" s="6">
        <v>294</v>
      </c>
      <c r="E424" s="7">
        <v>2155.15</v>
      </c>
      <c r="F424" s="7">
        <v>633614.1</v>
      </c>
    </row>
    <row r="425" spans="1:6" x14ac:dyDescent="0.3">
      <c r="A425" s="4" t="s">
        <v>850</v>
      </c>
      <c r="B425" s="5">
        <v>46137</v>
      </c>
      <c r="C425" s="4" t="s">
        <v>851</v>
      </c>
      <c r="D425" s="6">
        <v>118</v>
      </c>
      <c r="E425" s="7">
        <v>2410.5300000000002</v>
      </c>
      <c r="F425" s="7">
        <v>284442.53999999998</v>
      </c>
    </row>
    <row r="426" spans="1:6" x14ac:dyDescent="0.3">
      <c r="A426" s="4" t="s">
        <v>852</v>
      </c>
      <c r="B426" s="5">
        <v>46169</v>
      </c>
      <c r="C426" s="4" t="s">
        <v>853</v>
      </c>
      <c r="D426" s="6">
        <v>209</v>
      </c>
      <c r="E426" s="7">
        <v>2076.2600000000002</v>
      </c>
      <c r="F426" s="7">
        <v>433938.34</v>
      </c>
    </row>
    <row r="427" spans="1:6" x14ac:dyDescent="0.3">
      <c r="A427" s="4" t="s">
        <v>854</v>
      </c>
      <c r="B427" s="5">
        <v>46182</v>
      </c>
      <c r="C427" s="4" t="s">
        <v>855</v>
      </c>
      <c r="D427" s="6">
        <v>14</v>
      </c>
      <c r="E427" s="7">
        <v>2334.38</v>
      </c>
      <c r="F427" s="7">
        <v>32681.32</v>
      </c>
    </row>
    <row r="428" spans="1:6" x14ac:dyDescent="0.3">
      <c r="A428" s="4" t="s">
        <v>856</v>
      </c>
      <c r="B428" s="5">
        <v>46213</v>
      </c>
      <c r="C428" s="4" t="s">
        <v>857</v>
      </c>
      <c r="D428" s="6">
        <v>46</v>
      </c>
      <c r="E428" s="7">
        <v>1994.07</v>
      </c>
      <c r="F428" s="7">
        <v>91727.22</v>
      </c>
    </row>
    <row r="429" spans="1:6" x14ac:dyDescent="0.3">
      <c r="A429" s="4" t="s">
        <v>858</v>
      </c>
      <c r="B429" s="5">
        <v>46039</v>
      </c>
      <c r="C429" s="4" t="s">
        <v>859</v>
      </c>
      <c r="D429" s="6">
        <v>31</v>
      </c>
      <c r="E429" s="7">
        <v>2254.9299999999998</v>
      </c>
      <c r="F429" s="7">
        <v>69902.83</v>
      </c>
    </row>
    <row r="430" spans="1:6" x14ac:dyDescent="0.3">
      <c r="A430" s="4" t="s">
        <v>860</v>
      </c>
      <c r="B430" s="5">
        <v>46057</v>
      </c>
      <c r="C430" s="4" t="s">
        <v>861</v>
      </c>
      <c r="D430" s="6">
        <v>65</v>
      </c>
      <c r="E430" s="7">
        <v>2519.35</v>
      </c>
      <c r="F430" s="7">
        <v>163757.75</v>
      </c>
    </row>
    <row r="431" spans="1:6" x14ac:dyDescent="0.3">
      <c r="A431" s="4" t="s">
        <v>862</v>
      </c>
      <c r="B431" s="5">
        <v>46112</v>
      </c>
      <c r="C431" s="4" t="s">
        <v>863</v>
      </c>
      <c r="D431" s="6">
        <v>112</v>
      </c>
      <c r="E431" s="7">
        <v>2172.1999999999998</v>
      </c>
      <c r="F431" s="7">
        <v>243286.39999999999</v>
      </c>
    </row>
    <row r="432" spans="1:6" x14ac:dyDescent="0.3">
      <c r="A432" s="4" t="s">
        <v>864</v>
      </c>
      <c r="B432" s="5">
        <v>46126</v>
      </c>
      <c r="C432" s="4" t="s">
        <v>865</v>
      </c>
      <c r="D432" s="6">
        <v>41</v>
      </c>
      <c r="E432" s="7">
        <v>2439.36</v>
      </c>
      <c r="F432" s="7">
        <v>100013.75999999999</v>
      </c>
    </row>
    <row r="433" spans="1:6" x14ac:dyDescent="0.3">
      <c r="A433" s="4" t="s">
        <v>866</v>
      </c>
      <c r="B433" s="5">
        <v>46156</v>
      </c>
      <c r="C433" s="4" t="s">
        <v>867</v>
      </c>
      <c r="D433" s="6">
        <v>90</v>
      </c>
      <c r="E433" s="7">
        <v>2086.1799999999998</v>
      </c>
      <c r="F433" s="7">
        <v>187756.2</v>
      </c>
    </row>
    <row r="434" spans="1:6" x14ac:dyDescent="0.3">
      <c r="A434" s="4" t="s">
        <v>868</v>
      </c>
      <c r="B434" s="5">
        <v>46201</v>
      </c>
      <c r="C434" s="4" t="s">
        <v>869</v>
      </c>
      <c r="D434" s="6">
        <v>152</v>
      </c>
      <c r="E434" s="7">
        <v>2356.08</v>
      </c>
      <c r="F434" s="7">
        <v>358124.16</v>
      </c>
    </row>
    <row r="435" spans="1:6" x14ac:dyDescent="0.3">
      <c r="A435" s="4" t="s">
        <v>870</v>
      </c>
      <c r="B435" s="5">
        <v>46231</v>
      </c>
      <c r="C435" s="4" t="s">
        <v>871</v>
      </c>
      <c r="D435" s="6">
        <v>226</v>
      </c>
      <c r="E435" s="7">
        <v>2629.54</v>
      </c>
      <c r="F435" s="7">
        <v>594276.04</v>
      </c>
    </row>
    <row r="436" spans="1:6" x14ac:dyDescent="0.3">
      <c r="A436" s="4" t="s">
        <v>872</v>
      </c>
      <c r="B436" s="5">
        <v>46026</v>
      </c>
      <c r="C436" s="4" t="s">
        <v>873</v>
      </c>
      <c r="D436" s="6">
        <v>89</v>
      </c>
      <c r="E436" s="7">
        <v>2269.5100000000002</v>
      </c>
      <c r="F436" s="7">
        <v>201986.39</v>
      </c>
    </row>
    <row r="437" spans="1:6" x14ac:dyDescent="0.3">
      <c r="A437" s="4" t="s">
        <v>874</v>
      </c>
      <c r="B437" s="5">
        <v>46078</v>
      </c>
      <c r="C437" s="4" t="s">
        <v>875</v>
      </c>
      <c r="D437" s="6">
        <v>165</v>
      </c>
      <c r="E437" s="7">
        <v>24.77</v>
      </c>
      <c r="F437" s="7">
        <v>4087.05</v>
      </c>
    </row>
    <row r="438" spans="1:6" x14ac:dyDescent="0.3">
      <c r="A438" s="4" t="s">
        <v>876</v>
      </c>
      <c r="B438" s="5">
        <v>46099</v>
      </c>
      <c r="C438" s="4" t="s">
        <v>877</v>
      </c>
      <c r="D438" s="6">
        <v>253</v>
      </c>
      <c r="E438" s="7">
        <v>35.86</v>
      </c>
      <c r="F438" s="7">
        <v>9072.58</v>
      </c>
    </row>
    <row r="439" spans="1:6" x14ac:dyDescent="0.3">
      <c r="A439" s="4" t="s">
        <v>878</v>
      </c>
      <c r="B439" s="5">
        <v>46115</v>
      </c>
      <c r="C439" s="4" t="s">
        <v>879</v>
      </c>
      <c r="D439" s="6">
        <v>354</v>
      </c>
      <c r="E439" s="7">
        <v>56.75</v>
      </c>
      <c r="F439" s="7">
        <v>20089.5</v>
      </c>
    </row>
    <row r="440" spans="1:6" x14ac:dyDescent="0.3">
      <c r="A440" s="4" t="s">
        <v>880</v>
      </c>
      <c r="B440" s="5">
        <v>46143</v>
      </c>
      <c r="C440" s="4" t="s">
        <v>881</v>
      </c>
      <c r="D440" s="6">
        <v>3</v>
      </c>
      <c r="E440" s="7">
        <v>81.2</v>
      </c>
      <c r="F440" s="7">
        <v>243.6</v>
      </c>
    </row>
    <row r="441" spans="1:6" x14ac:dyDescent="0.3">
      <c r="A441" s="4" t="s">
        <v>882</v>
      </c>
      <c r="B441" s="5">
        <v>46190</v>
      </c>
      <c r="C441" s="4" t="s">
        <v>883</v>
      </c>
      <c r="D441" s="6">
        <v>23</v>
      </c>
      <c r="E441" s="7">
        <v>85.45</v>
      </c>
      <c r="F441" s="7">
        <v>1965.35</v>
      </c>
    </row>
    <row r="442" spans="1:6" x14ac:dyDescent="0.3">
      <c r="A442" s="4" t="s">
        <v>884</v>
      </c>
      <c r="B442" s="5">
        <v>46218</v>
      </c>
      <c r="C442" s="4" t="s">
        <v>885</v>
      </c>
      <c r="D442" s="6">
        <v>55</v>
      </c>
      <c r="E442" s="7">
        <v>112.64</v>
      </c>
      <c r="F442" s="7">
        <v>6195.2</v>
      </c>
    </row>
    <row r="443" spans="1:6" x14ac:dyDescent="0.3">
      <c r="A443" s="4" t="s">
        <v>886</v>
      </c>
      <c r="B443" s="5">
        <v>46044</v>
      </c>
      <c r="C443" s="4" t="s">
        <v>887</v>
      </c>
      <c r="D443" s="6">
        <v>22</v>
      </c>
      <c r="E443" s="7">
        <v>110.85</v>
      </c>
      <c r="F443" s="7">
        <v>2438.6999999999998</v>
      </c>
    </row>
    <row r="444" spans="1:6" x14ac:dyDescent="0.3">
      <c r="A444" s="4" t="s">
        <v>888</v>
      </c>
      <c r="B444" s="5">
        <v>46071</v>
      </c>
      <c r="C444" s="4" t="s">
        <v>889</v>
      </c>
      <c r="D444" s="6">
        <v>56</v>
      </c>
      <c r="E444" s="7">
        <v>140.79</v>
      </c>
      <c r="F444" s="7">
        <v>7884.24</v>
      </c>
    </row>
    <row r="445" spans="1:6" x14ac:dyDescent="0.3">
      <c r="A445" s="4" t="s">
        <v>890</v>
      </c>
      <c r="B445" s="5">
        <v>46086</v>
      </c>
      <c r="C445" s="4" t="s">
        <v>891</v>
      </c>
      <c r="D445" s="6">
        <v>102</v>
      </c>
      <c r="E445" s="7">
        <v>174.29</v>
      </c>
      <c r="F445" s="7">
        <v>17777.580000000002</v>
      </c>
    </row>
    <row r="446" spans="1:6" x14ac:dyDescent="0.3">
      <c r="A446" s="4" t="s">
        <v>892</v>
      </c>
      <c r="B446" s="5">
        <v>46134</v>
      </c>
      <c r="C446" s="4" t="s">
        <v>893</v>
      </c>
      <c r="D446" s="6">
        <v>162</v>
      </c>
      <c r="E446" s="7">
        <v>165.65</v>
      </c>
      <c r="F446" s="7">
        <v>26835.3</v>
      </c>
    </row>
    <row r="447" spans="1:6" x14ac:dyDescent="0.3">
      <c r="A447" s="4" t="s">
        <v>894</v>
      </c>
      <c r="B447" s="5">
        <v>46161</v>
      </c>
      <c r="C447" s="4" t="s">
        <v>895</v>
      </c>
      <c r="D447" s="6">
        <v>62</v>
      </c>
      <c r="E447" s="7">
        <v>201.89</v>
      </c>
      <c r="F447" s="7">
        <v>12517.18</v>
      </c>
    </row>
    <row r="448" spans="1:6" x14ac:dyDescent="0.3">
      <c r="A448" s="4" t="s">
        <v>896</v>
      </c>
      <c r="B448" s="5">
        <v>46179</v>
      </c>
      <c r="C448" s="4" t="s">
        <v>897</v>
      </c>
      <c r="D448" s="6">
        <v>123</v>
      </c>
      <c r="E448" s="7">
        <v>187.22</v>
      </c>
      <c r="F448" s="7">
        <v>23028.06</v>
      </c>
    </row>
    <row r="449" spans="1:6" x14ac:dyDescent="0.3">
      <c r="A449" s="4" t="s">
        <v>898</v>
      </c>
      <c r="B449" s="5">
        <v>46205</v>
      </c>
      <c r="C449" s="4" t="s">
        <v>899</v>
      </c>
      <c r="D449" s="6">
        <v>197</v>
      </c>
      <c r="E449" s="7">
        <v>226.2</v>
      </c>
      <c r="F449" s="7">
        <v>44561.4</v>
      </c>
    </row>
    <row r="450" spans="1:6" x14ac:dyDescent="0.3">
      <c r="A450" s="4" t="s">
        <v>900</v>
      </c>
      <c r="B450" s="5">
        <v>46031</v>
      </c>
      <c r="C450" s="4" t="s">
        <v>901</v>
      </c>
      <c r="D450" s="6">
        <v>283</v>
      </c>
      <c r="E450" s="7">
        <v>205.5</v>
      </c>
      <c r="F450" s="7">
        <v>58156.5</v>
      </c>
    </row>
    <row r="451" spans="1:6" x14ac:dyDescent="0.3">
      <c r="A451" s="4" t="s">
        <v>902</v>
      </c>
      <c r="B451" s="5">
        <v>46064</v>
      </c>
      <c r="C451" s="4" t="s">
        <v>903</v>
      </c>
      <c r="D451" s="6">
        <v>117</v>
      </c>
      <c r="E451" s="7">
        <v>247.22</v>
      </c>
      <c r="F451" s="7">
        <v>28924.74</v>
      </c>
    </row>
    <row r="452" spans="1:6" x14ac:dyDescent="0.3">
      <c r="A452" s="4" t="s">
        <v>904</v>
      </c>
      <c r="B452" s="5">
        <v>46104</v>
      </c>
      <c r="C452" s="4" t="s">
        <v>905</v>
      </c>
      <c r="D452" s="6">
        <v>205</v>
      </c>
      <c r="E452" s="7">
        <v>292.5</v>
      </c>
      <c r="F452" s="7">
        <v>59962.5</v>
      </c>
    </row>
    <row r="453" spans="1:6" x14ac:dyDescent="0.3">
      <c r="A453" s="4" t="s">
        <v>906</v>
      </c>
      <c r="B453" s="5">
        <v>46123</v>
      </c>
      <c r="C453" s="4" t="s">
        <v>907</v>
      </c>
      <c r="D453" s="6">
        <v>306</v>
      </c>
      <c r="E453" s="7">
        <v>264.95999999999998</v>
      </c>
      <c r="F453" s="7">
        <v>81077.759999999995</v>
      </c>
    </row>
    <row r="454" spans="1:6" x14ac:dyDescent="0.3">
      <c r="A454" s="4" t="s">
        <v>908</v>
      </c>
      <c r="B454" s="5">
        <v>46148</v>
      </c>
      <c r="C454" s="4" t="s">
        <v>909</v>
      </c>
      <c r="D454" s="6">
        <v>31</v>
      </c>
      <c r="E454" s="7">
        <v>312.98</v>
      </c>
      <c r="F454" s="7">
        <v>9702.3799999999992</v>
      </c>
    </row>
    <row r="455" spans="1:6" x14ac:dyDescent="0.3">
      <c r="A455" s="4" t="s">
        <v>910</v>
      </c>
      <c r="B455" s="5">
        <v>46198</v>
      </c>
      <c r="C455" s="4" t="s">
        <v>911</v>
      </c>
      <c r="D455" s="6">
        <v>25</v>
      </c>
      <c r="E455" s="7">
        <v>279.41000000000003</v>
      </c>
      <c r="F455" s="7">
        <v>6985.25</v>
      </c>
    </row>
    <row r="456" spans="1:6" x14ac:dyDescent="0.3">
      <c r="A456" s="4" t="s">
        <v>912</v>
      </c>
      <c r="B456" s="5">
        <v>46223</v>
      </c>
      <c r="C456" s="4" t="s">
        <v>913</v>
      </c>
      <c r="D456" s="6">
        <v>57</v>
      </c>
      <c r="E456" s="7">
        <v>330.16</v>
      </c>
      <c r="F456" s="7">
        <v>18819.12</v>
      </c>
    </row>
    <row r="457" spans="1:6" x14ac:dyDescent="0.3">
      <c r="A457" s="4" t="s">
        <v>914</v>
      </c>
      <c r="B457" s="5">
        <v>46049</v>
      </c>
      <c r="C457" s="4" t="s">
        <v>915</v>
      </c>
      <c r="D457" s="6">
        <v>101</v>
      </c>
      <c r="E457" s="7">
        <v>384.49</v>
      </c>
      <c r="F457" s="7">
        <v>38833.49</v>
      </c>
    </row>
    <row r="458" spans="1:6" x14ac:dyDescent="0.3">
      <c r="A458" s="4" t="s">
        <v>916</v>
      </c>
      <c r="B458" s="5">
        <v>46057</v>
      </c>
      <c r="C458" s="4" t="s">
        <v>917</v>
      </c>
      <c r="D458" s="6">
        <v>39</v>
      </c>
      <c r="E458" s="7">
        <v>344.06</v>
      </c>
      <c r="F458" s="7">
        <v>13418.34</v>
      </c>
    </row>
    <row r="459" spans="1:6" x14ac:dyDescent="0.3">
      <c r="A459" s="4" t="s">
        <v>918</v>
      </c>
      <c r="B459" s="5">
        <v>46091</v>
      </c>
      <c r="C459" s="4" t="s">
        <v>919</v>
      </c>
      <c r="D459" s="6">
        <v>85</v>
      </c>
      <c r="E459" s="7">
        <v>401.13</v>
      </c>
      <c r="F459" s="7">
        <v>34096.050000000003</v>
      </c>
    </row>
    <row r="460" spans="1:6" x14ac:dyDescent="0.3">
      <c r="A460" s="4" t="s">
        <v>920</v>
      </c>
      <c r="B460" s="5">
        <v>46142</v>
      </c>
      <c r="C460" s="4" t="s">
        <v>921</v>
      </c>
      <c r="D460" s="6">
        <v>270</v>
      </c>
      <c r="E460" s="7">
        <v>391.48</v>
      </c>
      <c r="F460" s="7">
        <v>105699.6</v>
      </c>
    </row>
    <row r="461" spans="1:6" x14ac:dyDescent="0.3">
      <c r="A461" s="4" t="s">
        <v>922</v>
      </c>
      <c r="B461" s="5">
        <v>46166</v>
      </c>
      <c r="C461" s="4" t="s">
        <v>923</v>
      </c>
      <c r="D461" s="6">
        <v>215</v>
      </c>
      <c r="E461" s="7">
        <v>414.48</v>
      </c>
      <c r="F461" s="7">
        <v>89113.2</v>
      </c>
    </row>
    <row r="462" spans="1:6" x14ac:dyDescent="0.3">
      <c r="A462" s="4" t="s">
        <v>924</v>
      </c>
      <c r="B462" s="5">
        <v>46187</v>
      </c>
      <c r="C462" s="4" t="s">
        <v>925</v>
      </c>
      <c r="D462" s="6">
        <v>87</v>
      </c>
      <c r="E462" s="7">
        <v>477.84</v>
      </c>
      <c r="F462" s="7">
        <v>41572.080000000002</v>
      </c>
    </row>
    <row r="463" spans="1:6" x14ac:dyDescent="0.3">
      <c r="A463" s="4" t="s">
        <v>926</v>
      </c>
      <c r="B463" s="5">
        <v>46210</v>
      </c>
      <c r="C463" s="4" t="s">
        <v>927</v>
      </c>
      <c r="D463" s="6">
        <v>160</v>
      </c>
      <c r="E463" s="7">
        <v>424.54</v>
      </c>
      <c r="F463" s="7">
        <v>67926.399999999994</v>
      </c>
    </row>
    <row r="464" spans="1:6" x14ac:dyDescent="0.3">
      <c r="A464" s="4" t="s">
        <v>928</v>
      </c>
      <c r="B464" s="5">
        <v>46036</v>
      </c>
      <c r="C464" s="4" t="s">
        <v>929</v>
      </c>
      <c r="D464" s="6">
        <v>246</v>
      </c>
      <c r="E464" s="7">
        <v>490.64</v>
      </c>
      <c r="F464" s="7">
        <v>120697.44</v>
      </c>
    </row>
    <row r="465" spans="1:6" x14ac:dyDescent="0.3">
      <c r="A465" s="4" t="s">
        <v>930</v>
      </c>
      <c r="B465" s="5">
        <v>46078</v>
      </c>
      <c r="C465" s="4" t="s">
        <v>931</v>
      </c>
      <c r="D465" s="6">
        <v>344</v>
      </c>
      <c r="E465" s="7">
        <v>431.32</v>
      </c>
      <c r="F465" s="7">
        <v>148374.07999999999</v>
      </c>
    </row>
    <row r="466" spans="1:6" x14ac:dyDescent="0.3">
      <c r="A466" s="4" t="s">
        <v>932</v>
      </c>
      <c r="B466" s="5">
        <v>46109</v>
      </c>
      <c r="C466" s="4" t="s">
        <v>933</v>
      </c>
      <c r="D466" s="6">
        <v>150</v>
      </c>
      <c r="E466" s="7">
        <v>500.16</v>
      </c>
      <c r="F466" s="7">
        <v>75024</v>
      </c>
    </row>
    <row r="467" spans="1:6" x14ac:dyDescent="0.3">
      <c r="A467" s="4" t="s">
        <v>934</v>
      </c>
      <c r="B467" s="5">
        <v>46131</v>
      </c>
      <c r="C467" s="4" t="s">
        <v>935</v>
      </c>
      <c r="D467" s="6">
        <v>14</v>
      </c>
      <c r="E467" s="7">
        <v>572.57000000000005</v>
      </c>
      <c r="F467" s="7">
        <v>8015.98</v>
      </c>
    </row>
    <row r="468" spans="1:6" x14ac:dyDescent="0.3">
      <c r="A468" s="4" t="s">
        <v>936</v>
      </c>
      <c r="B468" s="5">
        <v>46153</v>
      </c>
      <c r="C468" s="4" t="s">
        <v>937</v>
      </c>
      <c r="D468" s="6">
        <v>43</v>
      </c>
      <c r="E468" s="7">
        <v>506.39</v>
      </c>
      <c r="F468" s="7">
        <v>21774.77</v>
      </c>
    </row>
    <row r="469" spans="1:6" x14ac:dyDescent="0.3">
      <c r="A469" s="4" t="s">
        <v>938</v>
      </c>
      <c r="B469" s="5">
        <v>46176</v>
      </c>
      <c r="C469" s="4" t="s">
        <v>939</v>
      </c>
      <c r="D469" s="6">
        <v>19</v>
      </c>
      <c r="E469" s="7">
        <v>581.53</v>
      </c>
      <c r="F469" s="7">
        <v>11049.07</v>
      </c>
    </row>
    <row r="470" spans="1:6" x14ac:dyDescent="0.3">
      <c r="A470" s="4" t="s">
        <v>940</v>
      </c>
      <c r="B470" s="5">
        <v>46228</v>
      </c>
      <c r="C470" s="4" t="s">
        <v>941</v>
      </c>
      <c r="D470" s="6">
        <v>50</v>
      </c>
      <c r="E470" s="7">
        <v>509.33</v>
      </c>
      <c r="F470" s="7">
        <v>25466.5</v>
      </c>
    </row>
    <row r="471" spans="1:6" x14ac:dyDescent="0.3">
      <c r="A471" s="4" t="s">
        <v>942</v>
      </c>
      <c r="B471" s="5">
        <v>46023</v>
      </c>
      <c r="C471" s="4" t="s">
        <v>943</v>
      </c>
      <c r="D471" s="6">
        <v>94</v>
      </c>
      <c r="E471" s="7">
        <v>587.21</v>
      </c>
      <c r="F471" s="7">
        <v>55197.74</v>
      </c>
    </row>
    <row r="472" spans="1:6" x14ac:dyDescent="0.3">
      <c r="A472" s="4" t="s">
        <v>944</v>
      </c>
      <c r="B472" s="5">
        <v>46071</v>
      </c>
      <c r="C472" s="4" t="s">
        <v>945</v>
      </c>
      <c r="D472" s="6">
        <v>150</v>
      </c>
      <c r="E472" s="7">
        <v>668.66</v>
      </c>
      <c r="F472" s="7">
        <v>100299</v>
      </c>
    </row>
    <row r="473" spans="1:6" x14ac:dyDescent="0.3">
      <c r="A473" s="4" t="s">
        <v>946</v>
      </c>
      <c r="B473" s="5">
        <v>46096</v>
      </c>
      <c r="C473" s="4" t="s">
        <v>947</v>
      </c>
      <c r="D473" s="6">
        <v>60</v>
      </c>
      <c r="E473" s="7">
        <v>589.61</v>
      </c>
      <c r="F473" s="7">
        <v>35376.6</v>
      </c>
    </row>
    <row r="474" spans="1:6" x14ac:dyDescent="0.3">
      <c r="A474" s="4" t="s">
        <v>948</v>
      </c>
      <c r="B474" s="5">
        <v>46120</v>
      </c>
      <c r="C474" s="4" t="s">
        <v>949</v>
      </c>
      <c r="D474" s="6">
        <v>118</v>
      </c>
      <c r="E474" s="7">
        <v>673.79</v>
      </c>
      <c r="F474" s="7">
        <v>79507.22</v>
      </c>
    </row>
    <row r="475" spans="1:6" x14ac:dyDescent="0.3">
      <c r="A475" s="4" t="s">
        <v>950</v>
      </c>
      <c r="B475" s="5">
        <v>46171</v>
      </c>
      <c r="C475" s="4" t="s">
        <v>951</v>
      </c>
      <c r="D475" s="6">
        <v>189</v>
      </c>
      <c r="E475" s="7">
        <v>588.71</v>
      </c>
      <c r="F475" s="7">
        <v>111266.19</v>
      </c>
    </row>
    <row r="476" spans="1:6" x14ac:dyDescent="0.3">
      <c r="A476" s="4" t="s">
        <v>952</v>
      </c>
      <c r="B476" s="5">
        <v>46195</v>
      </c>
      <c r="C476" s="4" t="s">
        <v>953</v>
      </c>
      <c r="D476" s="6">
        <v>272</v>
      </c>
      <c r="E476" s="7">
        <v>675.64</v>
      </c>
      <c r="F476" s="7">
        <v>183774.07999999999</v>
      </c>
    </row>
    <row r="477" spans="1:6" x14ac:dyDescent="0.3">
      <c r="A477" s="4" t="s">
        <v>954</v>
      </c>
      <c r="B477" s="5">
        <v>46215</v>
      </c>
      <c r="C477" s="4" t="s">
        <v>955</v>
      </c>
      <c r="D477" s="6">
        <v>115</v>
      </c>
      <c r="E477" s="7">
        <v>766.13</v>
      </c>
      <c r="F477" s="7">
        <v>88104.95</v>
      </c>
    </row>
    <row r="478" spans="1:6" x14ac:dyDescent="0.3">
      <c r="A478" s="4" t="s">
        <v>956</v>
      </c>
      <c r="B478" s="5">
        <v>46041</v>
      </c>
      <c r="C478" s="4" t="s">
        <v>957</v>
      </c>
      <c r="D478" s="6">
        <v>201</v>
      </c>
      <c r="E478" s="7">
        <v>674.19</v>
      </c>
      <c r="F478" s="7">
        <v>135512.19</v>
      </c>
    </row>
    <row r="479" spans="1:6" x14ac:dyDescent="0.3">
      <c r="A479" s="4" t="s">
        <v>958</v>
      </c>
      <c r="B479" s="5">
        <v>46064</v>
      </c>
      <c r="C479" s="4" t="s">
        <v>959</v>
      </c>
      <c r="D479" s="6">
        <v>298</v>
      </c>
      <c r="E479" s="7">
        <v>767.42</v>
      </c>
      <c r="F479" s="7">
        <v>228691.16</v>
      </c>
    </row>
    <row r="480" spans="1:6" x14ac:dyDescent="0.3">
      <c r="A480" s="4" t="s">
        <v>960</v>
      </c>
      <c r="B480" s="5">
        <v>46083</v>
      </c>
      <c r="C480" s="4" t="s">
        <v>961</v>
      </c>
      <c r="D480" s="6">
        <v>16</v>
      </c>
      <c r="E480" s="7">
        <v>669.46</v>
      </c>
      <c r="F480" s="7">
        <v>10711.36</v>
      </c>
    </row>
    <row r="481" spans="1:6" x14ac:dyDescent="0.3">
      <c r="A481" s="4" t="s">
        <v>962</v>
      </c>
      <c r="B481" s="5">
        <v>46139</v>
      </c>
      <c r="C481" s="4" t="s">
        <v>963</v>
      </c>
      <c r="D481" s="6">
        <v>19</v>
      </c>
      <c r="E481" s="7">
        <v>765.43</v>
      </c>
      <c r="F481" s="7">
        <v>14543.17</v>
      </c>
    </row>
    <row r="482" spans="1:6" x14ac:dyDescent="0.3">
      <c r="A482" s="4" t="s">
        <v>964</v>
      </c>
      <c r="B482" s="5">
        <v>46158</v>
      </c>
      <c r="C482" s="4" t="s">
        <v>965</v>
      </c>
      <c r="D482" s="6">
        <v>47</v>
      </c>
      <c r="E482" s="7">
        <v>661.44</v>
      </c>
      <c r="F482" s="7">
        <v>31087.68</v>
      </c>
    </row>
    <row r="483" spans="1:6" x14ac:dyDescent="0.3">
      <c r="A483" s="4" t="s">
        <v>966</v>
      </c>
      <c r="B483" s="5">
        <v>46184</v>
      </c>
      <c r="C483" s="4" t="s">
        <v>967</v>
      </c>
      <c r="D483" s="6">
        <v>89</v>
      </c>
      <c r="E483" s="7">
        <v>760.15</v>
      </c>
      <c r="F483" s="7">
        <v>67653.350000000006</v>
      </c>
    </row>
    <row r="484" spans="1:6" x14ac:dyDescent="0.3">
      <c r="A484" s="4" t="s">
        <v>968</v>
      </c>
      <c r="B484" s="5">
        <v>46233</v>
      </c>
      <c r="C484" s="4" t="s">
        <v>969</v>
      </c>
      <c r="D484" s="6">
        <v>36</v>
      </c>
      <c r="E484" s="7">
        <v>862.42</v>
      </c>
      <c r="F484" s="7">
        <v>31047.119999999999</v>
      </c>
    </row>
    <row r="485" spans="1:6" x14ac:dyDescent="0.3">
      <c r="A485" s="4" t="s">
        <v>970</v>
      </c>
      <c r="B485" s="5">
        <v>46028</v>
      </c>
      <c r="C485" s="4" t="s">
        <v>971</v>
      </c>
      <c r="D485" s="6">
        <v>79</v>
      </c>
      <c r="E485" s="7">
        <v>751.58</v>
      </c>
      <c r="F485" s="7">
        <v>59374.82</v>
      </c>
    </row>
    <row r="486" spans="1:6" x14ac:dyDescent="0.3">
      <c r="A486" s="4" t="s">
        <v>972</v>
      </c>
      <c r="B486" s="5">
        <v>46057</v>
      </c>
      <c r="C486" s="4" t="s">
        <v>973</v>
      </c>
      <c r="D486" s="6">
        <v>135</v>
      </c>
      <c r="E486" s="7">
        <v>856.59</v>
      </c>
      <c r="F486" s="7">
        <v>115639.65</v>
      </c>
    </row>
    <row r="487" spans="1:6" x14ac:dyDescent="0.3">
      <c r="A487" s="4" t="s">
        <v>974</v>
      </c>
      <c r="B487" s="5">
        <v>46101</v>
      </c>
      <c r="C487" s="4" t="s">
        <v>975</v>
      </c>
      <c r="D487" s="6">
        <v>203</v>
      </c>
      <c r="E487" s="7">
        <v>739.73</v>
      </c>
      <c r="F487" s="7">
        <v>150165.19</v>
      </c>
    </row>
    <row r="488" spans="1:6" x14ac:dyDescent="0.3">
      <c r="A488" s="4" t="s">
        <v>976</v>
      </c>
      <c r="B488" s="5">
        <v>46128</v>
      </c>
      <c r="C488" s="4" t="s">
        <v>977</v>
      </c>
      <c r="D488" s="6">
        <v>85</v>
      </c>
      <c r="E488" s="7">
        <v>847.48</v>
      </c>
      <c r="F488" s="7">
        <v>72035.8</v>
      </c>
    </row>
    <row r="489" spans="1:6" x14ac:dyDescent="0.3">
      <c r="A489" s="4" t="s">
        <v>978</v>
      </c>
      <c r="B489" s="5">
        <v>46145</v>
      </c>
      <c r="C489" s="4" t="s">
        <v>979</v>
      </c>
      <c r="D489" s="6">
        <v>155</v>
      </c>
      <c r="E489" s="7">
        <v>958.79</v>
      </c>
      <c r="F489" s="7">
        <v>148612.45000000001</v>
      </c>
    </row>
    <row r="490" spans="1:6" x14ac:dyDescent="0.3">
      <c r="A490" s="4" t="s">
        <v>980</v>
      </c>
      <c r="B490" s="5">
        <v>46203</v>
      </c>
      <c r="C490" s="4" t="s">
        <v>981</v>
      </c>
      <c r="D490" s="6">
        <v>237</v>
      </c>
      <c r="E490" s="7">
        <v>835.07</v>
      </c>
      <c r="F490" s="7">
        <v>197911.59</v>
      </c>
    </row>
    <row r="491" spans="1:6" x14ac:dyDescent="0.3">
      <c r="A491" s="4" t="s">
        <v>982</v>
      </c>
      <c r="B491" s="5">
        <v>46220</v>
      </c>
      <c r="C491" s="4" t="s">
        <v>983</v>
      </c>
      <c r="D491" s="6">
        <v>333</v>
      </c>
      <c r="E491" s="7">
        <v>949.13</v>
      </c>
      <c r="F491" s="7">
        <v>316060.28999999998</v>
      </c>
    </row>
    <row r="492" spans="1:6" x14ac:dyDescent="0.3">
      <c r="A492" s="4" t="s">
        <v>984</v>
      </c>
      <c r="B492" s="5">
        <v>46046</v>
      </c>
      <c r="C492" s="4" t="s">
        <v>985</v>
      </c>
      <c r="D492" s="6">
        <v>148</v>
      </c>
      <c r="E492" s="7">
        <v>819.38</v>
      </c>
      <c r="F492" s="7">
        <v>121268.24</v>
      </c>
    </row>
    <row r="493" spans="1:6" x14ac:dyDescent="0.3">
      <c r="A493" s="4" t="s">
        <v>986</v>
      </c>
      <c r="B493" s="5">
        <v>46078</v>
      </c>
      <c r="C493" s="4" t="s">
        <v>987</v>
      </c>
      <c r="D493" s="6">
        <v>4</v>
      </c>
      <c r="E493" s="7">
        <v>936.17</v>
      </c>
      <c r="F493" s="7">
        <v>3744.68</v>
      </c>
    </row>
    <row r="494" spans="1:6" x14ac:dyDescent="0.3">
      <c r="A494" s="4" t="s">
        <v>988</v>
      </c>
      <c r="B494" s="5">
        <v>46088</v>
      </c>
      <c r="C494" s="4" t="s">
        <v>989</v>
      </c>
      <c r="D494" s="6">
        <v>31</v>
      </c>
      <c r="E494" s="7">
        <v>1056.53</v>
      </c>
      <c r="F494" s="7">
        <v>32752.43</v>
      </c>
    </row>
    <row r="495" spans="1:6" x14ac:dyDescent="0.3">
      <c r="A495" s="4" t="s">
        <v>990</v>
      </c>
      <c r="B495" s="5">
        <v>46117</v>
      </c>
      <c r="C495" s="4" t="s">
        <v>991</v>
      </c>
      <c r="D495" s="6">
        <v>16</v>
      </c>
      <c r="E495" s="7">
        <v>919.93</v>
      </c>
      <c r="F495" s="7">
        <v>14718.88</v>
      </c>
    </row>
    <row r="496" spans="1:6" x14ac:dyDescent="0.3">
      <c r="A496" s="4" t="s">
        <v>992</v>
      </c>
      <c r="B496" s="5">
        <v>46163</v>
      </c>
      <c r="C496" s="4" t="s">
        <v>993</v>
      </c>
      <c r="D496" s="6">
        <v>44</v>
      </c>
      <c r="E496" s="7">
        <v>1043.03</v>
      </c>
      <c r="F496" s="7">
        <v>45893.32</v>
      </c>
    </row>
    <row r="497" spans="1:6" x14ac:dyDescent="0.3">
      <c r="A497" s="4" t="s">
        <v>994</v>
      </c>
      <c r="B497" s="5">
        <v>46192</v>
      </c>
      <c r="C497" s="4" t="s">
        <v>995</v>
      </c>
      <c r="D497" s="6">
        <v>85</v>
      </c>
      <c r="E497" s="7">
        <v>900.41</v>
      </c>
      <c r="F497" s="7">
        <v>76534.850000000006</v>
      </c>
    </row>
    <row r="498" spans="1:6" x14ac:dyDescent="0.3">
      <c r="A498" s="4" t="s">
        <v>996</v>
      </c>
      <c r="B498" s="5">
        <v>46207</v>
      </c>
      <c r="C498" s="4" t="s">
        <v>997</v>
      </c>
      <c r="D498" s="6">
        <v>138</v>
      </c>
      <c r="E498" s="7">
        <v>1026.24</v>
      </c>
      <c r="F498" s="7">
        <v>141621.12</v>
      </c>
    </row>
    <row r="499" spans="1:6" x14ac:dyDescent="0.3">
      <c r="A499" s="4" t="s">
        <v>998</v>
      </c>
      <c r="B499" s="5">
        <v>46033</v>
      </c>
      <c r="C499" s="4" t="s">
        <v>999</v>
      </c>
      <c r="D499" s="6">
        <v>58</v>
      </c>
      <c r="E499" s="7">
        <v>1155.6400000000001</v>
      </c>
      <c r="F499" s="7">
        <v>67027.12</v>
      </c>
    </row>
    <row r="500" spans="1:6" x14ac:dyDescent="0.3">
      <c r="A500" s="4" t="s">
        <v>1000</v>
      </c>
      <c r="B500" s="5">
        <v>46071</v>
      </c>
      <c r="C500" s="4" t="s">
        <v>1001</v>
      </c>
      <c r="D500" s="6">
        <v>112</v>
      </c>
      <c r="E500" s="7">
        <v>1006.16</v>
      </c>
      <c r="F500" s="7">
        <v>112689.92</v>
      </c>
    </row>
    <row r="501" spans="1:6" x14ac:dyDescent="0.3">
      <c r="A501" s="4" t="s">
        <v>1002</v>
      </c>
      <c r="B501" s="5">
        <v>46106</v>
      </c>
      <c r="C501" s="4" t="s">
        <v>1003</v>
      </c>
      <c r="D501" s="6">
        <v>180</v>
      </c>
      <c r="E501" s="7">
        <v>1138.3</v>
      </c>
      <c r="F501" s="7">
        <v>204894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 Materials</vt:lpstr>
      <vt:lpstr>Sales</vt:lpstr>
      <vt:lpstr>ProductSKUList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2026-07-31T04:09:57Z</dcterms:created>
  <dcterms:modified xsi:type="dcterms:W3CDTF">2026-07-31T11:57:13Z</dcterms:modified>
</cp:coreProperties>
</file>